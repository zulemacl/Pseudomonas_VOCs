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Split_pot_experiment/Split_pot_Jul22/"/>
    </mc:Choice>
  </mc:AlternateContent>
  <xr:revisionPtr revIDLastSave="10" documentId="8_{91CB9A6A-0355-4FE9-8007-B353C53F18D5}" xr6:coauthVersionLast="47" xr6:coauthVersionMax="47" xr10:uidLastSave="{CFD6DA7E-5409-4FC9-B5A0-3C50D50E829C}"/>
  <bookViews>
    <workbookView xWindow="-108" yWindow="-108" windowWidth="23256" windowHeight="12576" xr2:uid="{F67EE46F-A549-43A9-8AD9-78B12F341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L2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<sst xmlns="http://schemas.openxmlformats.org/spreadsheetml/2006/main" count="181" uniqueCount="20">
  <si>
    <t>#ID</t>
  </si>
  <si>
    <t>Plant species</t>
  </si>
  <si>
    <t>Watering</t>
  </si>
  <si>
    <t>Treatment</t>
  </si>
  <si>
    <t>B. oleracea</t>
  </si>
  <si>
    <t>DR</t>
  </si>
  <si>
    <t>CHA0</t>
  </si>
  <si>
    <t>WCS315</t>
  </si>
  <si>
    <t>WW</t>
  </si>
  <si>
    <t>Cntrl</t>
  </si>
  <si>
    <t>WCS417</t>
  </si>
  <si>
    <t>Total leaf area(cm^2)</t>
  </si>
  <si>
    <t>Average leaf area (cm^2)</t>
  </si>
  <si>
    <t>Nº leaves</t>
  </si>
  <si>
    <t>Nº senescent leaves</t>
  </si>
  <si>
    <t>FW root (g)</t>
  </si>
  <si>
    <t>FW shoot (g)</t>
  </si>
  <si>
    <t>DW shoot (g)</t>
  </si>
  <si>
    <t>agua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</si>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</sst>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02EF-A606-4BA2-BE88-8493C751C115}">
  <dimension ref="A1:O57"/>
  <sheetViews>
    <sheetView tabSelected="1" topLeftCell="A10" workbookViewId="0">
      <selection activeCell="G27" sqref="G27:H36"/>
    </sheetView>
  </sheetViews>
  <sheetFormatPr defaultRowHeight="14.4" x14ac:dyDescent="0.3"/>
  <cols>
    <col min="1" max="1" width="5.6640625" bestFit="1" customWidth="1"/>
    <col min="2" max="2" width="11.44140625" bestFit="1" customWidth="1"/>
    <col min="3" max="3" width="8.44140625" bestFit="1" customWidth="1"/>
    <col min="4" max="4" width="9.5546875" bestFit="1" customWidth="1"/>
    <col min="5" max="5" width="18.6640625" bestFit="1" customWidth="1"/>
    <col min="6" max="6" width="21.5546875" bestFit="1" customWidth="1"/>
    <col min="7" max="7" width="8.77734375" bestFit="1" customWidth="1"/>
    <col min="8" max="8" width="17.5546875" bestFit="1" customWidth="1"/>
    <col min="9" max="9" width="10.109375" bestFit="1" customWidth="1"/>
    <col min="10" max="10" width="11.21875" bestFit="1" customWidth="1"/>
    <col min="11" max="11" width="11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5" x14ac:dyDescent="0.3">
      <c r="A2" s="2">
        <v>1</v>
      </c>
      <c r="B2" s="1" t="s">
        <v>4</v>
      </c>
      <c r="C2" s="1" t="s">
        <v>5</v>
      </c>
      <c r="D2" s="1" t="s">
        <v>6</v>
      </c>
      <c r="E2" s="1">
        <v>463.03</v>
      </c>
      <c r="F2" s="1">
        <f>E2/9</f>
        <v>51.447777777777773</v>
      </c>
      <c r="G2" s="1">
        <v>10</v>
      </c>
      <c r="H2" s="1"/>
      <c r="I2" s="1">
        <v>11.37</v>
      </c>
      <c r="J2" s="1">
        <v>29.47</v>
      </c>
      <c r="K2" s="1">
        <v>3.97</v>
      </c>
      <c r="L2">
        <f>J2-K2</f>
        <v>25.5</v>
      </c>
      <c r="M2" t="s">
        <v>18</v>
      </c>
    </row>
    <row r="3" spans="1:15" x14ac:dyDescent="0.3">
      <c r="A3" s="2">
        <v>2</v>
      </c>
      <c r="B3" s="1" t="s">
        <v>4</v>
      </c>
      <c r="C3" s="1" t="s">
        <v>5</v>
      </c>
      <c r="D3" s="1" t="s">
        <v>7</v>
      </c>
      <c r="E3" s="1">
        <v>395.45</v>
      </c>
      <c r="F3" s="1">
        <f>E3/9</f>
        <v>43.93888888888889</v>
      </c>
      <c r="G3" s="1">
        <v>12</v>
      </c>
      <c r="H3" s="1">
        <v>1</v>
      </c>
      <c r="I3" s="1">
        <v>2.3199999999999998</v>
      </c>
      <c r="J3" s="1">
        <v>25.77</v>
      </c>
      <c r="K3" s="1">
        <v>3.64</v>
      </c>
    </row>
    <row r="4" spans="1:15" x14ac:dyDescent="0.3">
      <c r="A4" s="2">
        <v>3</v>
      </c>
      <c r="B4" s="1" t="s">
        <v>4</v>
      </c>
      <c r="C4" s="1" t="s">
        <v>8</v>
      </c>
      <c r="D4" s="1" t="s">
        <v>7</v>
      </c>
      <c r="E4" s="1">
        <v>631.1</v>
      </c>
      <c r="F4" s="1">
        <f>E4/11</f>
        <v>57.372727272727275</v>
      </c>
      <c r="G4" s="1">
        <v>14</v>
      </c>
      <c r="H4" s="1"/>
      <c r="I4" s="1">
        <v>9.5</v>
      </c>
      <c r="J4" s="1">
        <v>39.61</v>
      </c>
      <c r="K4" s="1">
        <v>5.43</v>
      </c>
    </row>
    <row r="5" spans="1:15" x14ac:dyDescent="0.3">
      <c r="A5" s="2">
        <v>4</v>
      </c>
      <c r="B5" s="1" t="s">
        <v>4</v>
      </c>
      <c r="C5" s="1" t="s">
        <v>5</v>
      </c>
      <c r="D5" s="1" t="s">
        <v>6</v>
      </c>
      <c r="E5" s="1">
        <v>450.72</v>
      </c>
      <c r="F5" s="1">
        <f>E5/9</f>
        <v>50.080000000000005</v>
      </c>
      <c r="G5" s="1">
        <v>13</v>
      </c>
      <c r="H5" s="1">
        <v>1</v>
      </c>
      <c r="I5" s="1">
        <v>5.1100000000000003</v>
      </c>
      <c r="J5" s="1">
        <v>25.82</v>
      </c>
      <c r="K5" s="1">
        <v>2.96</v>
      </c>
      <c r="M5">
        <v>29.47</v>
      </c>
      <c r="O5">
        <v>100</v>
      </c>
    </row>
    <row r="6" spans="1:15" x14ac:dyDescent="0.3">
      <c r="A6" s="2">
        <v>5</v>
      </c>
      <c r="B6" s="1" t="s">
        <v>4</v>
      </c>
      <c r="C6" s="1" t="s">
        <v>8</v>
      </c>
      <c r="D6" s="1" t="s">
        <v>7</v>
      </c>
      <c r="E6" s="1">
        <v>644.99</v>
      </c>
      <c r="F6" s="1">
        <f>E6/11</f>
        <v>58.635454545454543</v>
      </c>
      <c r="G6" s="1">
        <v>13</v>
      </c>
      <c r="H6" s="1"/>
      <c r="I6" s="1">
        <v>6.61</v>
      </c>
      <c r="J6" s="1">
        <v>36.4</v>
      </c>
      <c r="K6" s="1">
        <v>4.33</v>
      </c>
      <c r="M6">
        <v>25.5</v>
      </c>
      <c r="O6" t="s">
        <v>19</v>
      </c>
    </row>
    <row r="7" spans="1:15" x14ac:dyDescent="0.3">
      <c r="A7" s="2">
        <v>6</v>
      </c>
      <c r="B7" s="1" t="s">
        <v>4</v>
      </c>
      <c r="C7" s="1" t="s">
        <v>8</v>
      </c>
      <c r="D7" s="1" t="s">
        <v>6</v>
      </c>
      <c r="E7" s="1">
        <v>698.33</v>
      </c>
      <c r="F7" s="1">
        <f>E7/11</f>
        <v>63.484545454545461</v>
      </c>
      <c r="G7" s="1">
        <v>14</v>
      </c>
      <c r="H7" s="1"/>
      <c r="I7" s="1">
        <v>7.4</v>
      </c>
      <c r="J7" s="1">
        <v>43.6</v>
      </c>
      <c r="K7" s="1">
        <v>5.26</v>
      </c>
    </row>
    <row r="8" spans="1:15" x14ac:dyDescent="0.3">
      <c r="A8" s="2">
        <v>7</v>
      </c>
      <c r="B8" s="1" t="s">
        <v>4</v>
      </c>
      <c r="C8" s="1" t="s">
        <v>8</v>
      </c>
      <c r="D8" s="1" t="s">
        <v>9</v>
      </c>
      <c r="E8" s="1">
        <v>359.46</v>
      </c>
      <c r="F8" s="1">
        <f>E8/8</f>
        <v>44.932499999999997</v>
      </c>
      <c r="G8" s="1">
        <v>11</v>
      </c>
      <c r="H8" s="1">
        <v>1</v>
      </c>
      <c r="I8" s="1">
        <v>22.8</v>
      </c>
      <c r="J8" s="1">
        <v>23.02</v>
      </c>
      <c r="K8" s="1">
        <v>4.25</v>
      </c>
      <c r="M8">
        <f>M6*O5/M5</f>
        <v>86.528673227010529</v>
      </c>
    </row>
    <row r="9" spans="1:15" x14ac:dyDescent="0.3">
      <c r="A9" s="2">
        <v>8</v>
      </c>
      <c r="B9" s="1" t="s">
        <v>4</v>
      </c>
      <c r="C9" s="1" t="s">
        <v>8</v>
      </c>
      <c r="D9" s="1" t="s">
        <v>10</v>
      </c>
      <c r="E9" s="1">
        <v>700.61</v>
      </c>
      <c r="F9" s="1">
        <f>E9/11</f>
        <v>63.691818181818185</v>
      </c>
      <c r="G9" s="1">
        <v>14</v>
      </c>
      <c r="H9" s="1"/>
      <c r="I9" s="1">
        <v>11.12</v>
      </c>
      <c r="J9" s="1">
        <v>47.54</v>
      </c>
      <c r="K9" s="1">
        <v>6.22</v>
      </c>
    </row>
    <row r="10" spans="1:15" x14ac:dyDescent="0.3">
      <c r="A10" s="2">
        <v>9</v>
      </c>
      <c r="B10" s="1" t="s">
        <v>4</v>
      </c>
      <c r="C10" s="1" t="s">
        <v>5</v>
      </c>
      <c r="D10" s="1" t="s">
        <v>7</v>
      </c>
      <c r="E10" s="1">
        <v>419.06</v>
      </c>
      <c r="F10" s="1">
        <f>E10/8</f>
        <v>52.3825</v>
      </c>
      <c r="G10" s="1">
        <v>11</v>
      </c>
      <c r="H10" s="1"/>
      <c r="I10" s="1">
        <v>3.03</v>
      </c>
      <c r="J10" s="1">
        <v>26.77</v>
      </c>
      <c r="K10" s="1">
        <v>5.8</v>
      </c>
    </row>
    <row r="11" spans="1:15" x14ac:dyDescent="0.3">
      <c r="A11" s="2">
        <v>10</v>
      </c>
      <c r="B11" s="1" t="s">
        <v>4</v>
      </c>
      <c r="C11" s="1" t="s">
        <v>5</v>
      </c>
      <c r="D11" s="1" t="s">
        <v>7</v>
      </c>
      <c r="E11" s="1">
        <v>394.01</v>
      </c>
      <c r="F11" s="1">
        <f>E11/8</f>
        <v>49.251249999999999</v>
      </c>
      <c r="G11" s="1">
        <v>12</v>
      </c>
      <c r="H11" s="1"/>
      <c r="I11" s="1">
        <v>2.56</v>
      </c>
      <c r="J11" s="1">
        <v>26.68</v>
      </c>
      <c r="K11" s="1">
        <v>4.0199999999999996</v>
      </c>
    </row>
    <row r="12" spans="1:15" x14ac:dyDescent="0.3">
      <c r="A12" s="2">
        <v>11</v>
      </c>
      <c r="B12" s="1" t="s">
        <v>4</v>
      </c>
      <c r="C12" s="1" t="s">
        <v>8</v>
      </c>
      <c r="D12" s="1" t="s">
        <v>10</v>
      </c>
      <c r="E12" s="1">
        <v>711.02</v>
      </c>
      <c r="F12" s="1">
        <f>E12/10</f>
        <v>71.102000000000004</v>
      </c>
      <c r="G12" s="1">
        <v>13</v>
      </c>
      <c r="H12" s="1">
        <v>2</v>
      </c>
      <c r="I12" s="1">
        <v>11.17</v>
      </c>
      <c r="J12" s="1">
        <v>47.04</v>
      </c>
      <c r="K12" s="1">
        <v>5.81</v>
      </c>
    </row>
    <row r="13" spans="1:15" x14ac:dyDescent="0.3">
      <c r="A13" s="2">
        <v>12</v>
      </c>
      <c r="B13" s="1" t="s">
        <v>4</v>
      </c>
      <c r="C13" s="1" t="s">
        <v>8</v>
      </c>
      <c r="D13" s="1" t="s">
        <v>9</v>
      </c>
      <c r="E13" s="1">
        <v>381.12</v>
      </c>
      <c r="F13" s="1">
        <f>E13/8</f>
        <v>47.64</v>
      </c>
      <c r="G13" s="1">
        <v>10</v>
      </c>
      <c r="H13" s="1"/>
      <c r="I13" s="1">
        <v>30.32</v>
      </c>
      <c r="J13" s="1">
        <v>23.43</v>
      </c>
      <c r="K13" s="1">
        <v>5.3</v>
      </c>
    </row>
    <row r="14" spans="1:15" x14ac:dyDescent="0.3">
      <c r="A14" s="2">
        <v>13</v>
      </c>
      <c r="B14" s="1" t="s">
        <v>4</v>
      </c>
      <c r="C14" s="1" t="s">
        <v>5</v>
      </c>
      <c r="D14" s="1" t="s">
        <v>6</v>
      </c>
      <c r="E14" s="1">
        <v>452.5</v>
      </c>
      <c r="F14" s="1">
        <f>E14/8</f>
        <v>56.5625</v>
      </c>
      <c r="G14" s="1">
        <v>11</v>
      </c>
      <c r="H14" s="1"/>
      <c r="I14" s="1">
        <v>7.96</v>
      </c>
      <c r="J14" s="1">
        <v>28.27</v>
      </c>
      <c r="K14" s="1">
        <v>3.44</v>
      </c>
    </row>
    <row r="15" spans="1:15" x14ac:dyDescent="0.3">
      <c r="A15" s="2">
        <v>14</v>
      </c>
      <c r="B15" s="1" t="s">
        <v>4</v>
      </c>
      <c r="C15" s="1" t="s">
        <v>5</v>
      </c>
      <c r="D15" s="1" t="s">
        <v>10</v>
      </c>
      <c r="E15" s="1">
        <v>371.4</v>
      </c>
      <c r="F15" s="1">
        <f>E15/8</f>
        <v>46.424999999999997</v>
      </c>
      <c r="G15" s="1">
        <v>11</v>
      </c>
      <c r="H15" s="1"/>
      <c r="I15" s="1">
        <v>2.8</v>
      </c>
      <c r="J15" s="1">
        <v>25.03</v>
      </c>
      <c r="K15" s="1">
        <v>3.73</v>
      </c>
    </row>
    <row r="16" spans="1:15" x14ac:dyDescent="0.3">
      <c r="A16" s="2">
        <v>15</v>
      </c>
      <c r="B16" s="1" t="s">
        <v>4</v>
      </c>
      <c r="C16" s="1" t="s">
        <v>8</v>
      </c>
      <c r="D16" s="1" t="s">
        <v>6</v>
      </c>
      <c r="E16" s="1">
        <v>734.26</v>
      </c>
      <c r="F16" s="1">
        <f>E16/11</f>
        <v>66.75090909090909</v>
      </c>
      <c r="G16" s="1">
        <v>15</v>
      </c>
      <c r="H16" s="1"/>
      <c r="I16" s="1">
        <v>8.2899999999999991</v>
      </c>
      <c r="J16" s="1">
        <v>46.19</v>
      </c>
      <c r="K16" s="1">
        <v>5.84</v>
      </c>
    </row>
    <row r="17" spans="1:11" x14ac:dyDescent="0.3">
      <c r="A17" s="2">
        <v>16</v>
      </c>
      <c r="B17" s="1" t="s">
        <v>4</v>
      </c>
      <c r="C17" s="1" t="s">
        <v>8</v>
      </c>
      <c r="D17" s="1" t="s">
        <v>10</v>
      </c>
      <c r="E17" s="1">
        <v>776.92</v>
      </c>
      <c r="F17" s="1">
        <f>E17/11</f>
        <v>70.629090909090905</v>
      </c>
      <c r="G17" s="1">
        <v>13</v>
      </c>
      <c r="H17" s="1"/>
      <c r="I17" s="1">
        <v>14.15</v>
      </c>
      <c r="J17" s="1">
        <v>48.5</v>
      </c>
      <c r="K17" s="1">
        <v>6.53</v>
      </c>
    </row>
    <row r="18" spans="1:11" x14ac:dyDescent="0.3">
      <c r="A18" s="2">
        <v>17</v>
      </c>
      <c r="B18" s="1" t="s">
        <v>4</v>
      </c>
      <c r="C18" s="1" t="s">
        <v>8</v>
      </c>
      <c r="D18" s="1" t="s">
        <v>6</v>
      </c>
      <c r="E18" s="1">
        <v>786.6</v>
      </c>
      <c r="F18" s="1">
        <f>E18/11</f>
        <v>71.509090909090915</v>
      </c>
      <c r="G18" s="1">
        <v>14</v>
      </c>
      <c r="H18" s="1"/>
      <c r="I18" s="1">
        <v>10.89</v>
      </c>
      <c r="J18" s="1">
        <v>46.06</v>
      </c>
      <c r="K18" s="1">
        <v>5.21</v>
      </c>
    </row>
    <row r="19" spans="1:11" x14ac:dyDescent="0.3">
      <c r="A19" s="2">
        <v>18</v>
      </c>
      <c r="B19" s="1" t="s">
        <v>4</v>
      </c>
      <c r="C19" s="1" t="s">
        <v>5</v>
      </c>
      <c r="D19" s="1" t="s">
        <v>7</v>
      </c>
      <c r="E19" s="1">
        <v>358.63</v>
      </c>
      <c r="F19" s="1">
        <f>E19/8</f>
        <v>44.828749999999999</v>
      </c>
      <c r="G19" s="1">
        <v>11</v>
      </c>
      <c r="H19" s="1"/>
      <c r="I19" s="1">
        <v>2.1</v>
      </c>
      <c r="J19" s="1">
        <v>20.77</v>
      </c>
      <c r="K19" s="1">
        <v>2.81</v>
      </c>
    </row>
    <row r="20" spans="1:11" x14ac:dyDescent="0.3">
      <c r="A20" s="2">
        <v>19</v>
      </c>
      <c r="B20" s="1" t="s">
        <v>4</v>
      </c>
      <c r="C20" s="1" t="s">
        <v>5</v>
      </c>
      <c r="D20" s="1" t="s">
        <v>9</v>
      </c>
      <c r="E20" s="1">
        <v>277.02999999999997</v>
      </c>
      <c r="F20" s="1">
        <f>E20/7</f>
        <v>39.575714285714284</v>
      </c>
      <c r="G20" s="1">
        <v>10</v>
      </c>
      <c r="H20" s="1"/>
      <c r="I20" s="1">
        <v>4.53</v>
      </c>
      <c r="J20" s="1">
        <v>19.36</v>
      </c>
      <c r="K20" s="1">
        <v>3.52</v>
      </c>
    </row>
    <row r="21" spans="1:11" x14ac:dyDescent="0.3">
      <c r="A21" s="2">
        <v>20</v>
      </c>
      <c r="B21" s="1" t="s">
        <v>4</v>
      </c>
      <c r="C21" s="1" t="s">
        <v>8</v>
      </c>
      <c r="D21" s="1" t="s">
        <v>7</v>
      </c>
      <c r="E21" s="1">
        <v>558.82000000000005</v>
      </c>
      <c r="F21" s="1">
        <f>E21/10</f>
        <v>55.882000000000005</v>
      </c>
      <c r="G21" s="1">
        <v>12</v>
      </c>
      <c r="H21" s="1"/>
      <c r="I21" s="1">
        <v>5.89</v>
      </c>
      <c r="J21" s="1">
        <v>32.630000000000003</v>
      </c>
      <c r="K21" s="1">
        <v>4.93</v>
      </c>
    </row>
    <row r="22" spans="1:11" x14ac:dyDescent="0.3">
      <c r="A22" s="2">
        <v>21</v>
      </c>
      <c r="B22" s="1" t="s">
        <v>4</v>
      </c>
      <c r="C22" s="1" t="s">
        <v>5</v>
      </c>
      <c r="D22" s="1" t="s">
        <v>6</v>
      </c>
      <c r="E22" s="1">
        <v>475.41</v>
      </c>
      <c r="F22" s="1">
        <f>E22/9</f>
        <v>52.823333333333338</v>
      </c>
      <c r="G22" s="1">
        <v>13</v>
      </c>
      <c r="H22" s="1">
        <v>1</v>
      </c>
      <c r="I22" s="1">
        <v>4.7300000000000004</v>
      </c>
      <c r="J22" s="1">
        <v>30.02</v>
      </c>
      <c r="K22" s="1">
        <v>3.79</v>
      </c>
    </row>
    <row r="23" spans="1:11" x14ac:dyDescent="0.3">
      <c r="A23" s="2">
        <v>22</v>
      </c>
      <c r="B23" s="1" t="s">
        <v>4</v>
      </c>
      <c r="C23" s="1" t="s">
        <v>5</v>
      </c>
      <c r="D23" s="1" t="s">
        <v>6</v>
      </c>
      <c r="E23" s="1">
        <v>424.3</v>
      </c>
      <c r="F23" s="1">
        <f>E23/8</f>
        <v>53.037500000000001</v>
      </c>
      <c r="G23" s="1">
        <v>12</v>
      </c>
      <c r="H23" s="1"/>
      <c r="I23" s="1">
        <v>6.28</v>
      </c>
      <c r="J23" s="1">
        <v>28.8</v>
      </c>
      <c r="K23" s="1">
        <v>3.77</v>
      </c>
    </row>
    <row r="24" spans="1:11" x14ac:dyDescent="0.3">
      <c r="A24" s="2">
        <v>23</v>
      </c>
      <c r="B24" s="1" t="s">
        <v>4</v>
      </c>
      <c r="C24" s="1" t="s">
        <v>8</v>
      </c>
      <c r="D24" s="1" t="s">
        <v>10</v>
      </c>
      <c r="E24" s="1">
        <v>786.16</v>
      </c>
      <c r="F24" s="1">
        <f>E24/11</f>
        <v>71.469090909090909</v>
      </c>
      <c r="G24" s="1">
        <v>15</v>
      </c>
      <c r="H24" s="1">
        <v>1</v>
      </c>
      <c r="I24" s="1">
        <v>12.61</v>
      </c>
      <c r="J24" s="1">
        <v>50.08</v>
      </c>
      <c r="K24" s="1">
        <v>6.92</v>
      </c>
    </row>
    <row r="25" spans="1:11" x14ac:dyDescent="0.3">
      <c r="A25" s="2">
        <v>24</v>
      </c>
      <c r="B25" s="1" t="s">
        <v>4</v>
      </c>
      <c r="C25" s="1" t="s">
        <v>8</v>
      </c>
      <c r="D25" s="1" t="s">
        <v>6</v>
      </c>
      <c r="E25" s="1">
        <v>666.53</v>
      </c>
      <c r="F25" s="1">
        <f>E25/10</f>
        <v>66.652999999999992</v>
      </c>
      <c r="G25" s="1">
        <v>14</v>
      </c>
      <c r="H25" s="1"/>
      <c r="I25" s="1">
        <v>14.45</v>
      </c>
      <c r="J25" s="1">
        <v>44.38</v>
      </c>
      <c r="K25" s="1">
        <v>6.06</v>
      </c>
    </row>
    <row r="26" spans="1:11" x14ac:dyDescent="0.3">
      <c r="A26" s="2">
        <v>25</v>
      </c>
      <c r="B26" s="1" t="s">
        <v>4</v>
      </c>
      <c r="C26" s="1" t="s">
        <v>5</v>
      </c>
      <c r="D26" s="1" t="s">
        <v>10</v>
      </c>
      <c r="E26" s="1">
        <v>429.74</v>
      </c>
      <c r="F26" s="1">
        <f>E26/9</f>
        <v>47.748888888888892</v>
      </c>
      <c r="G26" s="1">
        <v>12</v>
      </c>
      <c r="H26" s="1"/>
      <c r="I26" s="1">
        <v>4.1900000000000004</v>
      </c>
      <c r="J26" s="1">
        <v>28.11</v>
      </c>
      <c r="K26" s="1">
        <v>4.12</v>
      </c>
    </row>
    <row r="27" spans="1:11" x14ac:dyDescent="0.3">
      <c r="A27" s="2">
        <v>26</v>
      </c>
      <c r="B27" s="1" t="s">
        <v>4</v>
      </c>
      <c r="C27" s="1" t="s">
        <v>5</v>
      </c>
      <c r="D27" s="1" t="s">
        <v>9</v>
      </c>
      <c r="E27" s="1">
        <v>244.35</v>
      </c>
      <c r="F27" s="1">
        <f>E27/7</f>
        <v>34.907142857142858</v>
      </c>
      <c r="G27" s="1">
        <v>10</v>
      </c>
      <c r="H27" s="1"/>
      <c r="I27" s="1">
        <v>6.01</v>
      </c>
      <c r="J27" s="1">
        <v>17.25</v>
      </c>
      <c r="K27" s="1">
        <v>4.12</v>
      </c>
    </row>
    <row r="28" spans="1:11" x14ac:dyDescent="0.3">
      <c r="A28" s="2">
        <v>27</v>
      </c>
      <c r="B28" s="1" t="s">
        <v>4</v>
      </c>
      <c r="C28" s="1" t="s">
        <v>5</v>
      </c>
      <c r="D28" s="1" t="s">
        <v>9</v>
      </c>
      <c r="E28" s="1">
        <v>285.16000000000003</v>
      </c>
      <c r="F28" s="1">
        <f>E28/8</f>
        <v>35.645000000000003</v>
      </c>
      <c r="G28" s="1">
        <v>9</v>
      </c>
      <c r="H28" s="1">
        <v>1</v>
      </c>
      <c r="I28" s="1">
        <v>4.82</v>
      </c>
      <c r="J28" s="1">
        <v>20.8</v>
      </c>
      <c r="K28" s="1">
        <v>3.94</v>
      </c>
    </row>
    <row r="29" spans="1:11" x14ac:dyDescent="0.3">
      <c r="A29" s="2">
        <v>28</v>
      </c>
      <c r="B29" s="1" t="s">
        <v>4</v>
      </c>
      <c r="C29" s="1" t="s">
        <v>5</v>
      </c>
      <c r="D29" s="1" t="s">
        <v>9</v>
      </c>
      <c r="E29" s="1">
        <v>269.24</v>
      </c>
      <c r="F29" s="1">
        <f>E29/7</f>
        <v>38.462857142857146</v>
      </c>
      <c r="G29" s="1">
        <v>10</v>
      </c>
      <c r="H29" s="1">
        <v>2</v>
      </c>
      <c r="I29" s="1">
        <v>4.92</v>
      </c>
      <c r="J29" s="1">
        <v>18.91</v>
      </c>
      <c r="K29" s="1">
        <v>3.45</v>
      </c>
    </row>
    <row r="30" spans="1:11" x14ac:dyDescent="0.3">
      <c r="A30" s="2">
        <v>29</v>
      </c>
      <c r="B30" s="1" t="s">
        <v>4</v>
      </c>
      <c r="C30" s="1" t="s">
        <v>5</v>
      </c>
      <c r="D30" s="1" t="s">
        <v>10</v>
      </c>
      <c r="E30" s="1">
        <v>395.06</v>
      </c>
      <c r="F30" s="1">
        <f>E30/8</f>
        <v>49.3825</v>
      </c>
      <c r="G30" s="1">
        <v>12</v>
      </c>
      <c r="H30" s="1"/>
      <c r="I30" s="1">
        <v>2.64</v>
      </c>
      <c r="J30" s="1">
        <v>25.78</v>
      </c>
      <c r="K30" s="1">
        <v>3.55</v>
      </c>
    </row>
    <row r="31" spans="1:11" x14ac:dyDescent="0.3">
      <c r="A31" s="2">
        <v>30</v>
      </c>
      <c r="B31" s="1" t="s">
        <v>4</v>
      </c>
      <c r="C31" s="1" t="s">
        <v>5</v>
      </c>
      <c r="D31" s="1" t="s">
        <v>7</v>
      </c>
      <c r="E31" s="1">
        <v>395.73</v>
      </c>
      <c r="F31" s="1">
        <f>E31/8</f>
        <v>49.466250000000002</v>
      </c>
      <c r="G31" s="1">
        <v>11</v>
      </c>
      <c r="H31" s="1"/>
      <c r="I31" s="1">
        <v>2.34</v>
      </c>
      <c r="J31" s="1">
        <v>24.41</v>
      </c>
      <c r="K31" s="1">
        <v>2.82</v>
      </c>
    </row>
    <row r="32" spans="1:11" x14ac:dyDescent="0.3">
      <c r="A32" s="2">
        <v>31</v>
      </c>
      <c r="B32" s="1" t="s">
        <v>4</v>
      </c>
      <c r="C32" s="1" t="s">
        <v>5</v>
      </c>
      <c r="D32" s="1" t="s">
        <v>10</v>
      </c>
      <c r="E32" s="1">
        <v>424.7</v>
      </c>
      <c r="F32" s="1">
        <f>E32/8</f>
        <v>53.087499999999999</v>
      </c>
      <c r="G32" s="1">
        <v>12</v>
      </c>
      <c r="H32" s="1"/>
      <c r="I32" s="1">
        <v>2.82</v>
      </c>
      <c r="J32" s="1">
        <v>27.2</v>
      </c>
      <c r="K32" s="1">
        <v>3.14</v>
      </c>
    </row>
    <row r="33" spans="1:11" x14ac:dyDescent="0.3">
      <c r="A33" s="2">
        <v>32</v>
      </c>
      <c r="B33" s="1" t="s">
        <v>4</v>
      </c>
      <c r="C33" s="1" t="s">
        <v>8</v>
      </c>
      <c r="D33" s="1" t="s">
        <v>6</v>
      </c>
      <c r="E33" s="1">
        <v>672.83</v>
      </c>
      <c r="F33" s="1">
        <f>E33/10</f>
        <v>67.283000000000001</v>
      </c>
      <c r="G33" s="1">
        <v>14</v>
      </c>
      <c r="H33" s="1"/>
      <c r="I33" s="1">
        <v>15.87</v>
      </c>
      <c r="J33" s="1">
        <v>43.68</v>
      </c>
      <c r="K33" s="1">
        <v>5.72</v>
      </c>
    </row>
    <row r="34" spans="1:11" x14ac:dyDescent="0.3">
      <c r="A34" s="2">
        <v>33</v>
      </c>
      <c r="B34" s="1" t="s">
        <v>4</v>
      </c>
      <c r="C34" s="1" t="s">
        <v>8</v>
      </c>
      <c r="D34" s="1" t="s">
        <v>10</v>
      </c>
      <c r="E34" s="1">
        <v>777.09</v>
      </c>
      <c r="F34" s="1">
        <f>E34/10</f>
        <v>77.709000000000003</v>
      </c>
      <c r="G34" s="1">
        <v>15</v>
      </c>
      <c r="H34" s="1"/>
      <c r="I34" s="1">
        <v>9.31</v>
      </c>
      <c r="J34" s="1">
        <v>48.66</v>
      </c>
      <c r="K34" s="1">
        <v>5.99</v>
      </c>
    </row>
    <row r="35" spans="1:11" x14ac:dyDescent="0.3">
      <c r="A35" s="2">
        <v>34</v>
      </c>
      <c r="B35" s="1" t="s">
        <v>4</v>
      </c>
      <c r="C35" s="1" t="s">
        <v>8</v>
      </c>
      <c r="D35" s="1" t="s">
        <v>6</v>
      </c>
      <c r="E35" s="1">
        <v>641.9</v>
      </c>
      <c r="F35" s="1">
        <f>E35/10</f>
        <v>64.19</v>
      </c>
      <c r="G35" s="1">
        <v>13</v>
      </c>
      <c r="H35" s="1"/>
      <c r="I35" s="1">
        <v>13.07</v>
      </c>
      <c r="J35" s="1">
        <v>41.64</v>
      </c>
      <c r="K35" s="1">
        <v>5.36</v>
      </c>
    </row>
    <row r="36" spans="1:11" x14ac:dyDescent="0.3">
      <c r="A36" s="2">
        <v>35</v>
      </c>
      <c r="B36" s="1" t="s">
        <v>4</v>
      </c>
      <c r="C36" s="1" t="s">
        <v>5</v>
      </c>
      <c r="D36" s="1" t="s">
        <v>10</v>
      </c>
      <c r="E36" s="1">
        <v>361.72</v>
      </c>
      <c r="F36" s="1">
        <f>E36/8</f>
        <v>45.215000000000003</v>
      </c>
      <c r="G36" s="1">
        <v>11</v>
      </c>
      <c r="H36" s="1"/>
      <c r="I36" s="1">
        <v>2.48</v>
      </c>
      <c r="J36" s="1">
        <v>22.79</v>
      </c>
      <c r="K36" s="1">
        <v>2.58</v>
      </c>
    </row>
    <row r="37" spans="1:11" x14ac:dyDescent="0.3">
      <c r="A37" s="2">
        <v>36</v>
      </c>
      <c r="B37" s="1" t="s">
        <v>4</v>
      </c>
      <c r="C37" s="1" t="s">
        <v>8</v>
      </c>
      <c r="D37" s="1" t="s">
        <v>9</v>
      </c>
      <c r="E37" s="1">
        <v>346.28</v>
      </c>
      <c r="F37" s="1">
        <f>E37/7</f>
        <v>49.468571428571423</v>
      </c>
      <c r="G37" s="1">
        <v>11</v>
      </c>
      <c r="H37" s="1"/>
      <c r="I37" s="1">
        <v>34.08</v>
      </c>
      <c r="J37" s="1">
        <v>22.52</v>
      </c>
      <c r="K37" s="1">
        <v>3.75</v>
      </c>
    </row>
    <row r="38" spans="1:11" x14ac:dyDescent="0.3">
      <c r="A38" s="2">
        <v>37</v>
      </c>
      <c r="B38" s="1" t="s">
        <v>4</v>
      </c>
      <c r="C38" s="1" t="s">
        <v>5</v>
      </c>
      <c r="D38" s="1" t="s">
        <v>9</v>
      </c>
      <c r="E38" s="1">
        <v>256.62</v>
      </c>
      <c r="F38" s="1">
        <f>E38/7</f>
        <v>36.660000000000004</v>
      </c>
      <c r="G38" s="1">
        <v>10</v>
      </c>
      <c r="H38" s="1">
        <v>1</v>
      </c>
      <c r="I38" s="1">
        <v>4.51</v>
      </c>
      <c r="J38" s="1">
        <v>15.12</v>
      </c>
      <c r="K38" s="1">
        <v>2.37</v>
      </c>
    </row>
    <row r="39" spans="1:11" x14ac:dyDescent="0.3">
      <c r="A39" s="2">
        <v>38</v>
      </c>
      <c r="B39" s="1" t="s">
        <v>4</v>
      </c>
      <c r="C39" s="1" t="s">
        <v>5</v>
      </c>
      <c r="D39" s="1" t="s">
        <v>6</v>
      </c>
      <c r="E39" s="1">
        <v>351.65</v>
      </c>
      <c r="F39" s="1">
        <f>E39/8</f>
        <v>43.956249999999997</v>
      </c>
      <c r="G39" s="1">
        <v>9</v>
      </c>
      <c r="H39" s="1"/>
      <c r="I39" s="1">
        <v>2.62</v>
      </c>
      <c r="J39" s="1">
        <v>19.97</v>
      </c>
      <c r="K39" s="1">
        <v>3.01</v>
      </c>
    </row>
    <row r="40" spans="1:11" x14ac:dyDescent="0.3">
      <c r="A40" s="2">
        <v>39</v>
      </c>
      <c r="B40" s="1" t="s">
        <v>4</v>
      </c>
      <c r="C40" s="1" t="s">
        <v>8</v>
      </c>
      <c r="D40" s="1" t="s">
        <v>9</v>
      </c>
      <c r="E40" s="1">
        <v>378.02</v>
      </c>
      <c r="F40" s="1">
        <f>E40/8</f>
        <v>47.252499999999998</v>
      </c>
      <c r="G40" s="1">
        <v>10</v>
      </c>
      <c r="H40" s="1"/>
      <c r="I40" s="1">
        <v>30.65</v>
      </c>
      <c r="J40" s="1">
        <v>23.4</v>
      </c>
      <c r="K40" s="1">
        <v>3.62</v>
      </c>
    </row>
    <row r="41" spans="1:11" x14ac:dyDescent="0.3">
      <c r="A41" s="2">
        <v>40</v>
      </c>
      <c r="B41" s="1" t="s">
        <v>4</v>
      </c>
      <c r="C41" s="1" t="s">
        <v>5</v>
      </c>
      <c r="D41" s="1" t="s">
        <v>10</v>
      </c>
      <c r="E41" s="1">
        <v>386.44</v>
      </c>
      <c r="F41" s="1">
        <f>E41/8</f>
        <v>48.305</v>
      </c>
      <c r="G41" s="1">
        <v>11</v>
      </c>
      <c r="H41" s="1"/>
      <c r="I41" s="1">
        <v>1.69</v>
      </c>
      <c r="J41" s="1">
        <v>23.5</v>
      </c>
      <c r="K41" s="1">
        <v>3.21</v>
      </c>
    </row>
    <row r="42" spans="1:11" x14ac:dyDescent="0.3">
      <c r="A42" s="2">
        <v>41</v>
      </c>
      <c r="B42" s="1" t="s">
        <v>4</v>
      </c>
      <c r="C42" s="1" t="s">
        <v>8</v>
      </c>
      <c r="D42" s="1" t="s">
        <v>7</v>
      </c>
      <c r="E42" s="1">
        <v>655.88</v>
      </c>
      <c r="F42" s="1">
        <f>E42/10</f>
        <v>65.587999999999994</v>
      </c>
      <c r="G42" s="1">
        <v>14</v>
      </c>
      <c r="H42" s="1">
        <v>1</v>
      </c>
      <c r="I42" s="1">
        <v>11.32</v>
      </c>
      <c r="J42" s="1">
        <v>42.77</v>
      </c>
      <c r="K42" s="1">
        <v>5.41</v>
      </c>
    </row>
    <row r="43" spans="1:11" x14ac:dyDescent="0.3">
      <c r="A43" s="2">
        <v>42</v>
      </c>
      <c r="B43" s="1" t="s">
        <v>4</v>
      </c>
      <c r="C43" s="1" t="s">
        <v>5</v>
      </c>
      <c r="D43" s="1" t="s">
        <v>9</v>
      </c>
      <c r="E43" s="1">
        <v>335.75</v>
      </c>
      <c r="F43" s="1">
        <f>E43/8</f>
        <v>41.96875</v>
      </c>
      <c r="G43" s="1">
        <v>10</v>
      </c>
      <c r="H43" s="1"/>
      <c r="I43" s="1">
        <v>5.17</v>
      </c>
      <c r="J43" s="1">
        <v>21.12</v>
      </c>
      <c r="K43" s="1">
        <v>3.46</v>
      </c>
    </row>
    <row r="44" spans="1:11" x14ac:dyDescent="0.3">
      <c r="A44" s="2">
        <v>43</v>
      </c>
      <c r="B44" s="1" t="s">
        <v>4</v>
      </c>
      <c r="C44" s="1" t="s">
        <v>8</v>
      </c>
      <c r="D44" s="1" t="s">
        <v>9</v>
      </c>
      <c r="E44" s="1">
        <v>358.2</v>
      </c>
      <c r="F44" s="1">
        <f>E44/7</f>
        <v>51.171428571428571</v>
      </c>
      <c r="G44" s="1">
        <v>10</v>
      </c>
      <c r="H44" s="1">
        <v>2</v>
      </c>
      <c r="I44" s="1">
        <v>34.72</v>
      </c>
      <c r="J44" s="1">
        <v>24.16</v>
      </c>
      <c r="K44" s="1">
        <v>4.09</v>
      </c>
    </row>
    <row r="45" spans="1:11" x14ac:dyDescent="0.3">
      <c r="A45" s="2">
        <v>44</v>
      </c>
      <c r="B45" s="1" t="s">
        <v>4</v>
      </c>
      <c r="C45" s="1" t="s">
        <v>5</v>
      </c>
      <c r="D45" s="1" t="s">
        <v>10</v>
      </c>
      <c r="E45" s="1">
        <v>439.24</v>
      </c>
      <c r="F45" s="1">
        <f>E45/9</f>
        <v>48.804444444444442</v>
      </c>
      <c r="G45" s="1">
        <v>11</v>
      </c>
      <c r="H45" s="1"/>
      <c r="I45" s="1">
        <v>2.71</v>
      </c>
      <c r="J45" s="1">
        <v>29.12</v>
      </c>
      <c r="K45" s="1">
        <v>3.32</v>
      </c>
    </row>
    <row r="46" spans="1:11" x14ac:dyDescent="0.3">
      <c r="A46" s="2">
        <v>45</v>
      </c>
      <c r="B46" s="1" t="s">
        <v>4</v>
      </c>
      <c r="C46" s="1" t="s">
        <v>8</v>
      </c>
      <c r="D46" s="1" t="s">
        <v>7</v>
      </c>
      <c r="E46" s="1">
        <v>667.13</v>
      </c>
      <c r="F46" s="1">
        <f>E46/10</f>
        <v>66.712999999999994</v>
      </c>
      <c r="G46" s="1">
        <v>14</v>
      </c>
      <c r="H46" s="1"/>
      <c r="I46" s="1">
        <v>9.0399999999999991</v>
      </c>
      <c r="J46" s="1">
        <v>41.11</v>
      </c>
      <c r="K46" s="1">
        <v>5.85</v>
      </c>
    </row>
    <row r="47" spans="1:11" x14ac:dyDescent="0.3">
      <c r="A47" s="2">
        <v>46</v>
      </c>
      <c r="B47" s="1" t="s">
        <v>4</v>
      </c>
      <c r="C47" s="1" t="s">
        <v>8</v>
      </c>
      <c r="D47" s="1" t="s">
        <v>7</v>
      </c>
      <c r="E47" s="1">
        <v>900.58</v>
      </c>
      <c r="F47" s="1">
        <f>E47/10</f>
        <v>90.058000000000007</v>
      </c>
      <c r="G47" s="1">
        <v>12</v>
      </c>
      <c r="H47" s="1"/>
      <c r="I47" s="1">
        <v>8.67</v>
      </c>
      <c r="J47" s="1">
        <v>40.36</v>
      </c>
      <c r="K47" s="1">
        <v>6.16</v>
      </c>
    </row>
    <row r="48" spans="1:11" x14ac:dyDescent="0.3">
      <c r="A48" s="2">
        <v>47</v>
      </c>
      <c r="B48" s="1" t="s">
        <v>4</v>
      </c>
      <c r="C48" s="1" t="s">
        <v>5</v>
      </c>
      <c r="D48" s="1" t="s">
        <v>7</v>
      </c>
      <c r="E48" s="1">
        <v>387.9</v>
      </c>
      <c r="F48" s="1">
        <f>E48/8</f>
        <v>48.487499999999997</v>
      </c>
      <c r="G48" s="1">
        <v>12</v>
      </c>
      <c r="H48" s="1"/>
      <c r="I48" s="1">
        <v>2.36</v>
      </c>
      <c r="J48" s="1">
        <v>25.38</v>
      </c>
      <c r="K48" s="1">
        <v>3.19</v>
      </c>
    </row>
    <row r="49" spans="1:11" x14ac:dyDescent="0.3">
      <c r="A49" s="2">
        <v>48</v>
      </c>
      <c r="B49" s="1" t="s">
        <v>4</v>
      </c>
      <c r="C49" s="1" t="s">
        <v>5</v>
      </c>
      <c r="D49" s="1" t="s">
        <v>6</v>
      </c>
      <c r="E49" s="1">
        <v>440.34</v>
      </c>
      <c r="F49" s="1">
        <f>E49/9</f>
        <v>48.926666666666662</v>
      </c>
      <c r="G49" s="1">
        <v>12</v>
      </c>
      <c r="H49" s="1"/>
      <c r="I49" s="1">
        <v>4.0999999999999996</v>
      </c>
      <c r="J49" s="1">
        <v>27.18</v>
      </c>
      <c r="K49" s="1">
        <v>3.81</v>
      </c>
    </row>
    <row r="50" spans="1:11" x14ac:dyDescent="0.3">
      <c r="A50" s="2">
        <v>49</v>
      </c>
      <c r="B50" s="1" t="s">
        <v>4</v>
      </c>
      <c r="C50" s="1" t="s">
        <v>8</v>
      </c>
      <c r="D50" s="1" t="s">
        <v>9</v>
      </c>
      <c r="E50" s="1">
        <v>416.64</v>
      </c>
      <c r="F50" s="1">
        <f>E50/8</f>
        <v>52.08</v>
      </c>
      <c r="G50" s="1">
        <v>10</v>
      </c>
      <c r="H50" s="1"/>
      <c r="I50" s="1">
        <v>30</v>
      </c>
      <c r="J50" s="1">
        <v>24.32</v>
      </c>
      <c r="K50" s="1">
        <v>3.43</v>
      </c>
    </row>
    <row r="51" spans="1:11" x14ac:dyDescent="0.3">
      <c r="A51" s="2">
        <v>50</v>
      </c>
      <c r="B51" s="1" t="s">
        <v>4</v>
      </c>
      <c r="C51" s="1" t="s">
        <v>8</v>
      </c>
      <c r="D51" s="1" t="s">
        <v>10</v>
      </c>
      <c r="E51" s="1">
        <v>814.41</v>
      </c>
      <c r="F51" s="1">
        <f>E51/11</f>
        <v>74.037272727272722</v>
      </c>
      <c r="G51" s="1">
        <v>13</v>
      </c>
      <c r="H51" s="1"/>
      <c r="I51" s="1">
        <v>9.51</v>
      </c>
      <c r="J51" s="1">
        <v>45.41</v>
      </c>
      <c r="K51" s="1">
        <v>4.9000000000000004</v>
      </c>
    </row>
    <row r="52" spans="1:11" x14ac:dyDescent="0.3">
      <c r="A52" s="2">
        <v>51</v>
      </c>
      <c r="B52" s="1" t="s">
        <v>4</v>
      </c>
      <c r="C52" s="1" t="s">
        <v>8</v>
      </c>
      <c r="D52" s="1" t="s">
        <v>10</v>
      </c>
      <c r="E52" s="1">
        <v>769.41</v>
      </c>
      <c r="F52" s="1">
        <f>E52/10</f>
        <v>76.941000000000003</v>
      </c>
      <c r="G52" s="1">
        <v>13</v>
      </c>
      <c r="H52" s="1"/>
      <c r="I52" s="1">
        <v>4.4000000000000004</v>
      </c>
      <c r="J52" s="1">
        <v>42.02</v>
      </c>
      <c r="K52" s="1">
        <v>4.75</v>
      </c>
    </row>
    <row r="53" spans="1:11" x14ac:dyDescent="0.3">
      <c r="A53" s="2">
        <v>52</v>
      </c>
      <c r="B53" s="1" t="s">
        <v>4</v>
      </c>
      <c r="C53" s="1" t="s">
        <v>5</v>
      </c>
      <c r="D53" s="1" t="s">
        <v>9</v>
      </c>
      <c r="E53" s="1">
        <v>287.31</v>
      </c>
      <c r="F53" s="1">
        <f>E53/7</f>
        <v>41.044285714285714</v>
      </c>
      <c r="G53" s="1">
        <v>10</v>
      </c>
      <c r="H53" s="1"/>
      <c r="I53" s="1">
        <v>3.65</v>
      </c>
      <c r="J53" s="1">
        <v>17.190000000000001</v>
      </c>
      <c r="K53" s="1">
        <v>2.4500000000000002</v>
      </c>
    </row>
    <row r="54" spans="1:11" x14ac:dyDescent="0.3">
      <c r="A54" s="2">
        <v>53</v>
      </c>
      <c r="B54" s="1" t="s">
        <v>4</v>
      </c>
      <c r="C54" s="1" t="s">
        <v>8</v>
      </c>
      <c r="D54" s="1" t="s">
        <v>7</v>
      </c>
      <c r="E54" s="1">
        <v>634</v>
      </c>
      <c r="F54" s="1">
        <f>E54/10</f>
        <v>63.4</v>
      </c>
      <c r="G54" s="1">
        <v>14</v>
      </c>
      <c r="H54" s="1"/>
      <c r="I54" s="1">
        <v>4.49</v>
      </c>
      <c r="J54" s="1">
        <v>34.24</v>
      </c>
      <c r="K54" s="1">
        <v>3.69</v>
      </c>
    </row>
    <row r="55" spans="1:11" x14ac:dyDescent="0.3">
      <c r="A55" s="2">
        <v>54</v>
      </c>
      <c r="B55" s="1" t="s">
        <v>4</v>
      </c>
      <c r="C55" s="1" t="s">
        <v>8</v>
      </c>
      <c r="D55" s="1" t="s">
        <v>9</v>
      </c>
      <c r="E55" s="1">
        <v>410.76</v>
      </c>
      <c r="F55" s="1">
        <f>E55/8</f>
        <v>51.344999999999999</v>
      </c>
      <c r="G55" s="1">
        <v>12</v>
      </c>
      <c r="H55" s="1"/>
      <c r="I55" s="1">
        <v>20.53</v>
      </c>
      <c r="J55" s="1">
        <v>23.49</v>
      </c>
      <c r="K55" s="1">
        <v>3.04</v>
      </c>
    </row>
    <row r="56" spans="1:11" x14ac:dyDescent="0.3">
      <c r="A56" s="2">
        <v>55</v>
      </c>
      <c r="B56" s="1" t="s">
        <v>4</v>
      </c>
      <c r="C56" s="1" t="s">
        <v>8</v>
      </c>
      <c r="D56" s="1" t="s">
        <v>6</v>
      </c>
      <c r="E56" s="1">
        <v>705.16</v>
      </c>
      <c r="F56" s="1">
        <f>E56/10</f>
        <v>70.515999999999991</v>
      </c>
      <c r="G56" s="1">
        <v>15</v>
      </c>
      <c r="H56" s="1"/>
      <c r="I56" s="1">
        <v>6.36</v>
      </c>
      <c r="J56" s="1">
        <v>43.38</v>
      </c>
      <c r="K56" s="1">
        <v>4.33</v>
      </c>
    </row>
    <row r="57" spans="1:11" x14ac:dyDescent="0.3">
      <c r="A57" s="2">
        <v>56</v>
      </c>
      <c r="B57" s="1" t="s">
        <v>4</v>
      </c>
      <c r="C57" s="1" t="s">
        <v>5</v>
      </c>
      <c r="D57" s="1" t="s">
        <v>7</v>
      </c>
      <c r="E57" s="1">
        <v>408.08</v>
      </c>
      <c r="F57" s="1">
        <f>E57/8</f>
        <v>51.01</v>
      </c>
      <c r="G57" s="1">
        <v>12</v>
      </c>
      <c r="H57" s="1"/>
      <c r="I57" s="1">
        <v>2.41</v>
      </c>
      <c r="J57" s="1">
        <v>23.39</v>
      </c>
      <c r="K57" s="1">
        <v>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Carracedo Lorenzo, Zulema</dc:creator>
  <cp:lastModifiedBy>Carracedo Lorenzo, Zulema</cp:lastModifiedBy>
  <dcterms:created xsi:type="dcterms:W3CDTF">2022-07-21T14:30:56Z</dcterms:created>
  <dcterms:modified xsi:type="dcterms:W3CDTF">2024-05-03T12:02:08Z</dcterms:modified>
</cp:coreProperties>
</file>