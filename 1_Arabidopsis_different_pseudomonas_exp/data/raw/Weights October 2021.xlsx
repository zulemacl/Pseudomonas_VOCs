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.sharepoint.com/sites/MScthesisEveline2/Gedeelde documenten/General/"/>
    </mc:Choice>
  </mc:AlternateContent>
  <xr:revisionPtr revIDLastSave="176" documentId="11_C2D3075874BB7B6DC15C4D738337B8E82C73F5DC" xr6:coauthVersionLast="47" xr6:coauthVersionMax="47" xr10:uidLastSave="{0DB4C4E8-648D-4EF7-904F-716171CFE98D}"/>
  <bookViews>
    <workbookView xWindow="34470" yWindow="825" windowWidth="19095" windowHeight="17685" activeTab="1" xr2:uid="{00000000-000D-0000-FFFF-FFFF00000000}"/>
  </bookViews>
  <sheets>
    <sheet name="Brassica" sheetId="1" r:id="rId1"/>
    <sheet name="Arabidopsi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</calcChain>
</file>

<file path=xl/sharedStrings.xml><?xml version="1.0" encoding="utf-8"?>
<sst xmlns="http://schemas.openxmlformats.org/spreadsheetml/2006/main" count="338" uniqueCount="31">
  <si>
    <t>Plate</t>
  </si>
  <si>
    <t xml:space="preserve">Medium </t>
  </si>
  <si>
    <t>Strain</t>
  </si>
  <si>
    <t xml:space="preserve">Root ID </t>
  </si>
  <si>
    <t>Total weight</t>
  </si>
  <si>
    <t>Shoot weight</t>
  </si>
  <si>
    <t>Root weight</t>
  </si>
  <si>
    <t>Primary root length at day 0 (mm)</t>
  </si>
  <si>
    <t>Primary root length at day 5 (mm)</t>
  </si>
  <si>
    <t>Growth relative to day 0</t>
  </si>
  <si>
    <t>Weight relative to primary root length</t>
  </si>
  <si>
    <t>1/2 MS</t>
  </si>
  <si>
    <t>Ctrl</t>
  </si>
  <si>
    <t>a</t>
  </si>
  <si>
    <t>b</t>
  </si>
  <si>
    <t>CHA0</t>
  </si>
  <si>
    <t>WCS417</t>
  </si>
  <si>
    <t>WCS315</t>
  </si>
  <si>
    <t>1/2 MS + 150 mM Sorbitol</t>
  </si>
  <si>
    <t xml:space="preserve">Plate </t>
  </si>
  <si>
    <t>Medium</t>
  </si>
  <si>
    <t>Nr of seedlings</t>
  </si>
  <si>
    <t>Total_weight</t>
  </si>
  <si>
    <t>Av_total_weight</t>
  </si>
  <si>
    <t>Shoot_weight</t>
  </si>
  <si>
    <t>Av_shoot_weight</t>
  </si>
  <si>
    <t>Av_root weight</t>
  </si>
  <si>
    <t>Root_shoot_ratio</t>
  </si>
  <si>
    <t>1/2MS</t>
  </si>
  <si>
    <t xml:space="preserve">Ctrl </t>
  </si>
  <si>
    <t>1/2MS + 150 mM Sorbitol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</si>
</sst>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A5A5A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1" fillId="2" borderId="3" xfId="0" applyFont="1" applyFill="1" applyBorder="1"/>
    <xf numFmtId="0" fontId="2" fillId="3" borderId="3" xfId="0" applyFont="1" applyFill="1" applyBorder="1"/>
    <xf numFmtId="0" fontId="2" fillId="0" borderId="3" xfId="0" applyFont="1" applyBorder="1"/>
    <xf numFmtId="0" fontId="1" fillId="2" borderId="4" xfId="0" applyFont="1" applyFill="1" applyBorder="1"/>
    <xf numFmtId="2" fontId="3" fillId="0" borderId="0" xfId="0" applyNumberFormat="1" applyFont="1"/>
    <xf numFmtId="0" fontId="2" fillId="0" borderId="2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164" fontId="2" fillId="0" borderId="2" xfId="0" applyNumberFormat="1" applyFont="1" applyFill="1" applyBorder="1"/>
    <xf numFmtId="164" fontId="2" fillId="0" borderId="5" xfId="0" applyNumberFormat="1" applyFont="1" applyFill="1" applyBorder="1"/>
    <xf numFmtId="2" fontId="2" fillId="0" borderId="4" xfId="0" applyNumberFormat="1" applyFont="1" applyFill="1" applyBorder="1"/>
    <xf numFmtId="2" fontId="2" fillId="0" borderId="2" xfId="0" applyNumberFormat="1" applyFont="1" applyFill="1" applyBorder="1"/>
    <xf numFmtId="2" fontId="2" fillId="0" borderId="5" xfId="0" applyNumberFormat="1" applyFont="1" applyFill="1" applyBorder="1"/>
    <xf numFmtId="164" fontId="4" fillId="0" borderId="4" xfId="0" applyNumberFormat="1" applyFont="1" applyFill="1" applyBorder="1"/>
    <xf numFmtId="164" fontId="4" fillId="0" borderId="2" xfId="0" applyNumberFormat="1" applyFont="1" applyFill="1" applyBorder="1"/>
    <xf numFmtId="0" fontId="4" fillId="0" borderId="2" xfId="0" applyFon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000"/>
      <fill>
        <patternFill patternType="none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fill>
        <patternFill patternType="none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left style="thin">
          <color rgb="FF8EA9DB"/>
        </left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9784B-CBAE-4267-8004-2E010624C346}" name="Table1" displayName="Table1" ref="A1:K81" totalsRowShown="0" headerRowDxfId="14" dataDxfId="12" headerRowBorderDxfId="13" tableBorderDxfId="11">
  <autoFilter ref="A1:K81" xr:uid="{C8D9784B-CBAE-4267-8004-2E010624C346}"/>
  <tableColumns count="11">
    <tableColumn id="1" xr3:uid="{81D99324-74B9-4AD9-BD58-7BF77B44B177}" name="Plate" dataDxfId="10"/>
    <tableColumn id="2" xr3:uid="{D9EF89A6-F130-477A-8859-B9BFA30F3E3E}" name="Medium " dataDxfId="9"/>
    <tableColumn id="3" xr3:uid="{0ADD2F12-ED16-4FA5-A2CC-2C0D226A4307}" name="Strain" dataDxfId="8"/>
    <tableColumn id="4" xr3:uid="{6852451F-0555-474F-983B-24FC0B287E9E}" name="Root ID " dataDxfId="7"/>
    <tableColumn id="5" xr3:uid="{5E5FE88C-A67E-45D9-B3E4-84058FA4419B}" name="Total weight" dataDxfId="6"/>
    <tableColumn id="6" xr3:uid="{EBF325B7-218E-40FB-90C2-9B155FA72E7C}" name="Shoot weight" dataDxfId="5"/>
    <tableColumn id="7" xr3:uid="{A0EEA041-841F-4574-8A59-A3F1E0773108}" name="Root weight" dataDxfId="4"/>
    <tableColumn id="8" xr3:uid="{483B8C77-3597-4D7A-AAF1-3B64F4DC5155}" name="Primary root length at day 0 (mm)" dataDxfId="3"/>
    <tableColumn id="9" xr3:uid="{F94EE498-5644-4AB3-94CF-30BFE1E06343}" name="Primary root length at day 5 (mm)" dataDxfId="2"/>
    <tableColumn id="10" xr3:uid="{7986BECC-0F6D-4C3F-9F75-DCFF8A4FF7D9}" name="Growth relative to day 0" dataDxfId="1">
      <calculatedColumnFormula>(I2-H2)/H2</calculatedColumnFormula>
    </tableColumn>
    <tableColumn id="11" xr3:uid="{94AB2A05-BAA7-4EB4-9E5E-2A1BFEF4CAE5}" name="Weight relative to primary root length" dataDxfId="0">
      <calculatedColumnFormula>E2/H2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workbookViewId="0">
      <selection activeCell="E84" sqref="E84"/>
    </sheetView>
  </sheetViews>
  <sheetFormatPr defaultRowHeight="15" x14ac:dyDescent="0.25"/>
  <cols>
    <col min="2" max="2" width="27.28515625" customWidth="1"/>
    <col min="3" max="4" width="15.140625" customWidth="1"/>
    <col min="5" max="5" width="14.5703125" bestFit="1" customWidth="1"/>
    <col min="6" max="6" width="15.28515625" bestFit="1" customWidth="1"/>
    <col min="7" max="7" width="19.85546875" customWidth="1"/>
    <col min="8" max="8" width="32.5703125" customWidth="1"/>
    <col min="9" max="9" width="32.28515625" customWidth="1"/>
    <col min="10" max="10" width="23.85546875" customWidth="1"/>
    <col min="11" max="11" width="35.5703125" customWidth="1"/>
  </cols>
  <sheetData>
    <row r="1" spans="1:1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15.75" x14ac:dyDescent="0.25">
      <c r="A2" s="6">
        <v>1</v>
      </c>
      <c r="B2" s="6" t="s">
        <v>11</v>
      </c>
      <c r="C2" s="6" t="s">
        <v>12</v>
      </c>
      <c r="D2" s="6" t="s">
        <v>13</v>
      </c>
      <c r="E2" s="22">
        <v>0.19889999999999999</v>
      </c>
      <c r="F2" s="22">
        <v>0.15140000000000001</v>
      </c>
      <c r="G2" s="22">
        <v>4.7500000000000001E-2</v>
      </c>
      <c r="H2" s="11">
        <v>5.238842</v>
      </c>
      <c r="I2" s="13">
        <v>8.9</v>
      </c>
      <c r="J2" s="17">
        <f t="shared" ref="J2:J33" si="0">(I2-H2)/H2</f>
        <v>0.69884871504046131</v>
      </c>
      <c r="K2" s="20">
        <f t="shared" ref="K2:K33" si="1">E2/H2</f>
        <v>3.796640555298289E-2</v>
      </c>
    </row>
    <row r="3" spans="1:11" ht="15.75" x14ac:dyDescent="0.25">
      <c r="A3" s="6"/>
      <c r="B3" s="6"/>
      <c r="C3" s="6" t="s">
        <v>12</v>
      </c>
      <c r="D3" s="6" t="s">
        <v>14</v>
      </c>
      <c r="E3" s="22"/>
      <c r="F3" s="22"/>
      <c r="G3" s="22"/>
      <c r="H3" s="11">
        <v>5.4890632999999998</v>
      </c>
      <c r="I3" s="12">
        <v>7.7290000000000001</v>
      </c>
      <c r="J3" s="18">
        <f t="shared" si="0"/>
        <v>0.40807266697033728</v>
      </c>
      <c r="K3" s="21">
        <f t="shared" si="1"/>
        <v>0</v>
      </c>
    </row>
    <row r="4" spans="1:11" ht="15.75" x14ac:dyDescent="0.25">
      <c r="A4" s="6">
        <v>2</v>
      </c>
      <c r="B4" s="6" t="s">
        <v>11</v>
      </c>
      <c r="C4" s="6" t="s">
        <v>15</v>
      </c>
      <c r="D4" s="6" t="s">
        <v>13</v>
      </c>
      <c r="E4" s="22">
        <v>0.20250000000000001</v>
      </c>
      <c r="F4" s="22">
        <v>0.1555</v>
      </c>
      <c r="G4" s="22">
        <v>4.7E-2</v>
      </c>
      <c r="H4" s="11">
        <v>6.7178250000000004</v>
      </c>
      <c r="I4" s="12">
        <v>12.337999999999999</v>
      </c>
      <c r="J4" s="18">
        <f t="shared" si="0"/>
        <v>0.83660634208244467</v>
      </c>
      <c r="K4" s="21">
        <f t="shared" si="1"/>
        <v>3.0143684898013865E-2</v>
      </c>
    </row>
    <row r="5" spans="1:11" ht="15.75" x14ac:dyDescent="0.25">
      <c r="A5" s="6"/>
      <c r="B5" s="6"/>
      <c r="C5" s="6" t="s">
        <v>15</v>
      </c>
      <c r="D5" s="6" t="s">
        <v>14</v>
      </c>
      <c r="E5" s="22"/>
      <c r="F5" s="22"/>
      <c r="G5" s="22"/>
      <c r="H5" s="11">
        <v>5.8764940000000001</v>
      </c>
      <c r="I5" s="12">
        <v>9.1609999999999996</v>
      </c>
      <c r="J5" s="18">
        <f t="shared" si="0"/>
        <v>0.55892271820578721</v>
      </c>
      <c r="K5" s="21">
        <f t="shared" si="1"/>
        <v>0</v>
      </c>
    </row>
    <row r="6" spans="1:11" ht="15.75" x14ac:dyDescent="0.25">
      <c r="A6" s="6">
        <v>3</v>
      </c>
      <c r="B6" s="6" t="s">
        <v>11</v>
      </c>
      <c r="C6" s="6" t="s">
        <v>16</v>
      </c>
      <c r="D6" s="6" t="s">
        <v>13</v>
      </c>
      <c r="E6" s="22">
        <v>0.20960000000000001</v>
      </c>
      <c r="F6" s="22">
        <v>0.16220000000000001</v>
      </c>
      <c r="G6" s="22">
        <v>4.7399999999999998E-2</v>
      </c>
      <c r="H6" s="11">
        <v>7.4695195999999999</v>
      </c>
      <c r="I6" s="12">
        <v>12.8</v>
      </c>
      <c r="J6" s="18">
        <f t="shared" si="0"/>
        <v>0.71363095425842393</v>
      </c>
      <c r="K6" s="21">
        <f t="shared" si="1"/>
        <v>2.8060706875981691E-2</v>
      </c>
    </row>
    <row r="7" spans="1:11" ht="15.75" x14ac:dyDescent="0.25">
      <c r="A7" s="6"/>
      <c r="B7" s="6"/>
      <c r="C7" s="6" t="s">
        <v>16</v>
      </c>
      <c r="D7" s="6" t="s">
        <v>14</v>
      </c>
      <c r="E7" s="22"/>
      <c r="F7" s="22"/>
      <c r="G7" s="22"/>
      <c r="H7" s="11">
        <v>6.0589347</v>
      </c>
      <c r="I7" s="12">
        <v>9.7479999999999993</v>
      </c>
      <c r="J7" s="18">
        <f t="shared" si="0"/>
        <v>0.60886368357790677</v>
      </c>
      <c r="K7" s="21">
        <f t="shared" si="1"/>
        <v>0</v>
      </c>
    </row>
    <row r="8" spans="1:11" ht="15.75" x14ac:dyDescent="0.25">
      <c r="A8" s="6">
        <v>4</v>
      </c>
      <c r="B8" s="6" t="s">
        <v>11</v>
      </c>
      <c r="C8" s="6" t="s">
        <v>17</v>
      </c>
      <c r="D8" s="6" t="s">
        <v>13</v>
      </c>
      <c r="E8" s="6">
        <v>8.9800000000000005E-2</v>
      </c>
      <c r="F8" s="6">
        <v>6.9900000000000004E-2</v>
      </c>
      <c r="G8" s="6">
        <v>1.9900000000000001E-2</v>
      </c>
      <c r="H8" s="11">
        <v>5.0148754000000002</v>
      </c>
      <c r="I8" s="12">
        <v>8.4979999999999993</v>
      </c>
      <c r="J8" s="18">
        <f t="shared" si="0"/>
        <v>0.69455855274091138</v>
      </c>
      <c r="K8" s="15">
        <f t="shared" si="1"/>
        <v>1.7906726057441029E-2</v>
      </c>
    </row>
    <row r="9" spans="1:11" ht="15.75" x14ac:dyDescent="0.25">
      <c r="A9" s="6"/>
      <c r="B9" s="6" t="s">
        <v>11</v>
      </c>
      <c r="C9" s="6" t="s">
        <v>17</v>
      </c>
      <c r="D9" s="6" t="s">
        <v>14</v>
      </c>
      <c r="E9" s="6">
        <v>7.9500000000000001E-2</v>
      </c>
      <c r="F9" s="6">
        <v>5.4800000000000001E-2</v>
      </c>
      <c r="G9" s="6">
        <v>2.47E-2</v>
      </c>
      <c r="H9" s="11">
        <v>5.1165669999999999</v>
      </c>
      <c r="I9" s="12">
        <v>8.6050000000000004</v>
      </c>
      <c r="J9" s="18">
        <f t="shared" si="0"/>
        <v>0.68179171698523655</v>
      </c>
      <c r="K9" s="15">
        <f t="shared" si="1"/>
        <v>1.5537761940770053E-2</v>
      </c>
    </row>
    <row r="10" spans="1:11" ht="15.75" x14ac:dyDescent="0.25">
      <c r="A10" s="6">
        <v>5</v>
      </c>
      <c r="B10" s="6" t="s">
        <v>18</v>
      </c>
      <c r="C10" s="6" t="s">
        <v>12</v>
      </c>
      <c r="D10" s="6" t="s">
        <v>13</v>
      </c>
      <c r="E10" s="6">
        <v>0.1089</v>
      </c>
      <c r="F10" s="6">
        <v>8.4000000000000005E-2</v>
      </c>
      <c r="G10" s="6">
        <v>2.4899999999999999E-2</v>
      </c>
      <c r="H10" s="11">
        <v>7.6179842999999998</v>
      </c>
      <c r="I10" s="12">
        <v>11.176</v>
      </c>
      <c r="J10" s="18">
        <f t="shared" si="0"/>
        <v>0.46705474307685307</v>
      </c>
      <c r="K10" s="15">
        <f t="shared" si="1"/>
        <v>1.4295120035886658E-2</v>
      </c>
    </row>
    <row r="11" spans="1:11" ht="15.75" x14ac:dyDescent="0.25">
      <c r="A11" s="6"/>
      <c r="B11" s="6" t="s">
        <v>18</v>
      </c>
      <c r="C11" s="6" t="s">
        <v>12</v>
      </c>
      <c r="D11" s="6" t="s">
        <v>14</v>
      </c>
      <c r="E11" s="6">
        <v>9.74E-2</v>
      </c>
      <c r="F11" s="6">
        <v>7.2499999999999995E-2</v>
      </c>
      <c r="G11" s="6">
        <v>2.4899999999999999E-2</v>
      </c>
      <c r="H11" s="11">
        <v>6.579777</v>
      </c>
      <c r="I11" s="12">
        <v>12.581</v>
      </c>
      <c r="J11" s="18">
        <f t="shared" si="0"/>
        <v>0.91207088021372151</v>
      </c>
      <c r="K11" s="15">
        <f t="shared" si="1"/>
        <v>1.4802933290900284E-2</v>
      </c>
    </row>
    <row r="12" spans="1:11" ht="15.75" x14ac:dyDescent="0.25">
      <c r="A12" s="6">
        <v>6</v>
      </c>
      <c r="B12" s="6" t="s">
        <v>18</v>
      </c>
      <c r="C12" s="6" t="s">
        <v>15</v>
      </c>
      <c r="D12" s="6" t="s">
        <v>13</v>
      </c>
      <c r="E12" s="6">
        <v>7.0099999999999996E-2</v>
      </c>
      <c r="F12" s="6">
        <v>4.6100000000000002E-2</v>
      </c>
      <c r="G12" s="6">
        <v>2.4E-2</v>
      </c>
      <c r="H12" s="11">
        <v>4.4030740000000002</v>
      </c>
      <c r="I12" s="12">
        <v>13.583</v>
      </c>
      <c r="J12" s="18">
        <f t="shared" si="0"/>
        <v>2.0848902380473278</v>
      </c>
      <c r="K12" s="15">
        <f t="shared" si="1"/>
        <v>1.5920695405073817E-2</v>
      </c>
    </row>
    <row r="13" spans="1:11" ht="15.75" x14ac:dyDescent="0.25">
      <c r="A13" s="6"/>
      <c r="B13" s="6" t="s">
        <v>18</v>
      </c>
      <c r="C13" s="6" t="s">
        <v>15</v>
      </c>
      <c r="D13" s="6" t="s">
        <v>14</v>
      </c>
      <c r="E13" s="6">
        <v>6.3399999999999998E-2</v>
      </c>
      <c r="F13" s="6">
        <v>4.87E-2</v>
      </c>
      <c r="G13" s="6">
        <v>1.47E-2</v>
      </c>
      <c r="H13" s="11">
        <v>5.7834110000000001</v>
      </c>
      <c r="I13" s="12">
        <v>13.497</v>
      </c>
      <c r="J13" s="18">
        <f t="shared" si="0"/>
        <v>1.3337438753704345</v>
      </c>
      <c r="K13" s="15">
        <f t="shared" si="1"/>
        <v>1.0962388804807405E-2</v>
      </c>
    </row>
    <row r="14" spans="1:11" ht="15.75" x14ac:dyDescent="0.25">
      <c r="A14" s="6">
        <v>7</v>
      </c>
      <c r="B14" s="6" t="s">
        <v>18</v>
      </c>
      <c r="C14" s="6" t="s">
        <v>16</v>
      </c>
      <c r="D14" s="6" t="s">
        <v>13</v>
      </c>
      <c r="E14" s="6">
        <v>0.10150000000000001</v>
      </c>
      <c r="F14" s="6">
        <v>7.3099999999999998E-2</v>
      </c>
      <c r="G14" s="6">
        <v>2.8400000000000002E-2</v>
      </c>
      <c r="H14" s="11">
        <v>6.7193129999999996</v>
      </c>
      <c r="I14" s="12">
        <v>13.833</v>
      </c>
      <c r="J14" s="18">
        <f t="shared" si="0"/>
        <v>1.0586926074138832</v>
      </c>
      <c r="K14" s="15">
        <f t="shared" si="1"/>
        <v>1.5105710955867067E-2</v>
      </c>
    </row>
    <row r="15" spans="1:11" ht="15.75" x14ac:dyDescent="0.25">
      <c r="A15" s="6"/>
      <c r="B15" s="6" t="s">
        <v>18</v>
      </c>
      <c r="C15" s="6" t="s">
        <v>16</v>
      </c>
      <c r="D15" s="6" t="s">
        <v>14</v>
      </c>
      <c r="E15" s="6">
        <v>0.1033</v>
      </c>
      <c r="F15" s="6">
        <v>7.5300000000000006E-2</v>
      </c>
      <c r="G15" s="6">
        <v>2.8000000000000001E-2</v>
      </c>
      <c r="H15" s="11">
        <v>7.6074333000000003</v>
      </c>
      <c r="I15" s="12">
        <v>14.44</v>
      </c>
      <c r="J15" s="18">
        <f t="shared" si="0"/>
        <v>0.89814349078814781</v>
      </c>
      <c r="K15" s="15">
        <f t="shared" si="1"/>
        <v>1.3578824279668677E-2</v>
      </c>
    </row>
    <row r="16" spans="1:11" ht="15.75" x14ac:dyDescent="0.25">
      <c r="A16" s="6">
        <v>8</v>
      </c>
      <c r="B16" s="6" t="s">
        <v>18</v>
      </c>
      <c r="C16" s="6" t="s">
        <v>17</v>
      </c>
      <c r="D16" s="6" t="s">
        <v>13</v>
      </c>
      <c r="E16" s="6">
        <v>8.5699999999999998E-2</v>
      </c>
      <c r="F16" s="6">
        <v>6.2899999999999998E-2</v>
      </c>
      <c r="G16" s="6">
        <v>2.2800000000000001E-2</v>
      </c>
      <c r="H16" s="11">
        <v>5.1626620000000001</v>
      </c>
      <c r="I16" s="12">
        <v>10.601000000000001</v>
      </c>
      <c r="J16" s="18">
        <f t="shared" si="0"/>
        <v>1.053398033805041</v>
      </c>
      <c r="K16" s="15">
        <f t="shared" si="1"/>
        <v>1.6599963352239601E-2</v>
      </c>
    </row>
    <row r="17" spans="1:11" ht="15.75" x14ac:dyDescent="0.25">
      <c r="A17" s="6"/>
      <c r="B17" s="6" t="s">
        <v>18</v>
      </c>
      <c r="C17" s="6" t="s">
        <v>17</v>
      </c>
      <c r="D17" s="6" t="s">
        <v>14</v>
      </c>
      <c r="E17" s="6">
        <v>9.1399999999999995E-2</v>
      </c>
      <c r="F17" s="6">
        <v>6.6900000000000001E-2</v>
      </c>
      <c r="G17" s="6">
        <v>2.4500000000000001E-2</v>
      </c>
      <c r="H17" s="11">
        <v>6.0906099999999999</v>
      </c>
      <c r="I17" s="12">
        <v>12.138999999999999</v>
      </c>
      <c r="J17" s="18">
        <f t="shared" si="0"/>
        <v>0.99306801781759124</v>
      </c>
      <c r="K17" s="15">
        <f t="shared" si="1"/>
        <v>1.5006707045763889E-2</v>
      </c>
    </row>
    <row r="18" spans="1:11" ht="15.75" x14ac:dyDescent="0.25">
      <c r="A18" s="6">
        <v>9</v>
      </c>
      <c r="B18" s="6" t="s">
        <v>11</v>
      </c>
      <c r="C18" s="6" t="s">
        <v>12</v>
      </c>
      <c r="D18" s="6" t="s">
        <v>13</v>
      </c>
      <c r="E18" s="6">
        <v>6.7500000000000004E-2</v>
      </c>
      <c r="F18" s="6">
        <v>5.3100000000000001E-2</v>
      </c>
      <c r="G18" s="6">
        <v>1.44E-2</v>
      </c>
      <c r="H18" s="11">
        <v>5.9428879999999999</v>
      </c>
      <c r="I18" s="12">
        <v>13.007999999999999</v>
      </c>
      <c r="J18" s="18">
        <f t="shared" si="0"/>
        <v>1.1888347887424429</v>
      </c>
      <c r="K18" s="15">
        <f t="shared" si="1"/>
        <v>1.1358114102099855E-2</v>
      </c>
    </row>
    <row r="19" spans="1:11" ht="15.75" x14ac:dyDescent="0.25">
      <c r="A19" s="6"/>
      <c r="B19" s="6" t="s">
        <v>11</v>
      </c>
      <c r="C19" s="6" t="s">
        <v>12</v>
      </c>
      <c r="D19" s="6" t="s">
        <v>14</v>
      </c>
      <c r="E19" s="6">
        <v>7.6200000000000004E-2</v>
      </c>
      <c r="F19" s="6">
        <v>5.5899999999999998E-2</v>
      </c>
      <c r="G19" s="6">
        <v>2.0299999999999999E-2</v>
      </c>
      <c r="H19" s="11">
        <v>5.9596770000000001</v>
      </c>
      <c r="I19" s="12">
        <v>10.193</v>
      </c>
      <c r="J19" s="18">
        <f t="shared" si="0"/>
        <v>0.71032758990126466</v>
      </c>
      <c r="K19" s="15">
        <f t="shared" si="1"/>
        <v>1.2785927827967858E-2</v>
      </c>
    </row>
    <row r="20" spans="1:11" ht="15.75" x14ac:dyDescent="0.25">
      <c r="A20" s="6">
        <v>10</v>
      </c>
      <c r="B20" s="6" t="s">
        <v>11</v>
      </c>
      <c r="C20" s="6" t="s">
        <v>15</v>
      </c>
      <c r="D20" s="6" t="s">
        <v>13</v>
      </c>
      <c r="E20" s="6">
        <v>0.11650000000000001</v>
      </c>
      <c r="F20" s="6">
        <v>9.0399999999999994E-2</v>
      </c>
      <c r="G20" s="6">
        <v>2.6100000000000002E-2</v>
      </c>
      <c r="H20" s="11">
        <v>4.2125053000000001</v>
      </c>
      <c r="I20" s="12">
        <v>11.683999999999999</v>
      </c>
      <c r="J20" s="18">
        <f t="shared" si="0"/>
        <v>1.7736463619404821</v>
      </c>
      <c r="K20" s="15">
        <f t="shared" si="1"/>
        <v>2.7655751554781428E-2</v>
      </c>
    </row>
    <row r="21" spans="1:11" ht="15.75" x14ac:dyDescent="0.25">
      <c r="A21" s="6"/>
      <c r="B21" s="6" t="s">
        <v>11</v>
      </c>
      <c r="C21" s="6" t="s">
        <v>15</v>
      </c>
      <c r="D21" s="6" t="s">
        <v>14</v>
      </c>
      <c r="E21" s="6">
        <v>0.1135</v>
      </c>
      <c r="F21" s="6">
        <v>8.72E-2</v>
      </c>
      <c r="G21" s="6">
        <v>2.63E-2</v>
      </c>
      <c r="H21" s="11">
        <v>5.7564729999999997</v>
      </c>
      <c r="I21" s="12">
        <v>10.301</v>
      </c>
      <c r="J21" s="18">
        <f t="shared" si="0"/>
        <v>0.78946379145702594</v>
      </c>
      <c r="K21" s="15">
        <f t="shared" si="1"/>
        <v>1.9716934310297297E-2</v>
      </c>
    </row>
    <row r="22" spans="1:11" ht="15.75" x14ac:dyDescent="0.25">
      <c r="A22" s="6">
        <v>11</v>
      </c>
      <c r="B22" s="6" t="s">
        <v>11</v>
      </c>
      <c r="C22" s="6" t="s">
        <v>16</v>
      </c>
      <c r="D22" s="6" t="s">
        <v>13</v>
      </c>
      <c r="E22" s="6">
        <v>0.1452</v>
      </c>
      <c r="F22" s="6">
        <v>0.1176</v>
      </c>
      <c r="G22" s="6">
        <v>2.76E-2</v>
      </c>
      <c r="H22" s="11">
        <v>7.5159286999999999</v>
      </c>
      <c r="I22" s="12">
        <v>12.987</v>
      </c>
      <c r="J22" s="18">
        <f t="shared" si="0"/>
        <v>0.72793017581446728</v>
      </c>
      <c r="K22" s="15">
        <f t="shared" si="1"/>
        <v>1.9318969856645926E-2</v>
      </c>
    </row>
    <row r="23" spans="1:11" ht="15.75" x14ac:dyDescent="0.25">
      <c r="A23" s="6"/>
      <c r="B23" s="6" t="s">
        <v>11</v>
      </c>
      <c r="C23" s="6" t="s">
        <v>16</v>
      </c>
      <c r="D23" s="6" t="s">
        <v>14</v>
      </c>
      <c r="E23" s="6">
        <v>7.7600000000000002E-2</v>
      </c>
      <c r="F23" s="6">
        <v>5.7799999999999997E-2</v>
      </c>
      <c r="G23" s="6">
        <v>1.9800000000000002E-2</v>
      </c>
      <c r="H23" s="11">
        <v>7.6116656999999996</v>
      </c>
      <c r="I23" s="12">
        <v>12.768000000000001</v>
      </c>
      <c r="J23" s="18">
        <f t="shared" si="0"/>
        <v>0.67742521850375026</v>
      </c>
      <c r="K23" s="15">
        <f t="shared" si="1"/>
        <v>1.0194877581131816E-2</v>
      </c>
    </row>
    <row r="24" spans="1:11" ht="15.75" x14ac:dyDescent="0.25">
      <c r="A24" s="6">
        <v>12</v>
      </c>
      <c r="B24" s="6" t="s">
        <v>11</v>
      </c>
      <c r="C24" s="6" t="s">
        <v>17</v>
      </c>
      <c r="D24" s="6" t="s">
        <v>13</v>
      </c>
      <c r="E24" s="6">
        <v>9.5000000000000001E-2</v>
      </c>
      <c r="F24" s="6">
        <v>7.7100000000000002E-2</v>
      </c>
      <c r="G24" s="6">
        <v>1.7899999999999999E-2</v>
      </c>
      <c r="H24" s="11">
        <v>7.2243852999999998</v>
      </c>
      <c r="I24" s="12">
        <v>11.628</v>
      </c>
      <c r="J24" s="18">
        <f t="shared" si="0"/>
        <v>0.60954870444133158</v>
      </c>
      <c r="K24" s="15">
        <f t="shared" si="1"/>
        <v>1.3149907716023951E-2</v>
      </c>
    </row>
    <row r="25" spans="1:11" ht="15.75" x14ac:dyDescent="0.25">
      <c r="A25" s="6"/>
      <c r="B25" s="6" t="s">
        <v>11</v>
      </c>
      <c r="C25" s="6" t="s">
        <v>17</v>
      </c>
      <c r="D25" s="6" t="s">
        <v>14</v>
      </c>
      <c r="E25" s="6">
        <v>7.9699999999999993E-2</v>
      </c>
      <c r="F25" s="6">
        <v>6.2799999999999995E-2</v>
      </c>
      <c r="G25" s="6">
        <v>1.6899999999999998E-2</v>
      </c>
      <c r="H25" s="11">
        <v>7.2654157000000001</v>
      </c>
      <c r="I25" s="12">
        <v>13.491</v>
      </c>
      <c r="J25" s="18">
        <f t="shared" si="0"/>
        <v>0.85687929735390078</v>
      </c>
      <c r="K25" s="15">
        <f t="shared" si="1"/>
        <v>1.096977837069942E-2</v>
      </c>
    </row>
    <row r="26" spans="1:11" ht="15.75" x14ac:dyDescent="0.25">
      <c r="A26" s="6">
        <v>13</v>
      </c>
      <c r="B26" s="6" t="s">
        <v>18</v>
      </c>
      <c r="C26" s="6" t="s">
        <v>12</v>
      </c>
      <c r="D26" s="6" t="s">
        <v>13</v>
      </c>
      <c r="E26" s="6">
        <v>9.1399999999999995E-2</v>
      </c>
      <c r="F26" s="6">
        <v>6.8599999999999994E-2</v>
      </c>
      <c r="G26" s="6">
        <v>2.2800000000000001E-2</v>
      </c>
      <c r="H26" s="11">
        <v>4.9511370000000001</v>
      </c>
      <c r="I26" s="12">
        <v>11.081</v>
      </c>
      <c r="J26" s="18">
        <f t="shared" si="0"/>
        <v>1.2380717802799639</v>
      </c>
      <c r="K26" s="15">
        <f t="shared" si="1"/>
        <v>1.8460406165290922E-2</v>
      </c>
    </row>
    <row r="27" spans="1:11" ht="15.75" x14ac:dyDescent="0.25">
      <c r="A27" s="6"/>
      <c r="B27" s="6" t="s">
        <v>18</v>
      </c>
      <c r="C27" s="6" t="s">
        <v>12</v>
      </c>
      <c r="D27" s="6" t="s">
        <v>14</v>
      </c>
      <c r="E27" s="6">
        <v>8.2799999999999999E-2</v>
      </c>
      <c r="F27" s="6">
        <v>6.1899999999999997E-2</v>
      </c>
      <c r="G27" s="6">
        <v>2.0899999999999998E-2</v>
      </c>
      <c r="H27" s="11">
        <v>6.3960967000000002</v>
      </c>
      <c r="I27" s="12">
        <v>12.5</v>
      </c>
      <c r="J27" s="18">
        <f t="shared" si="0"/>
        <v>0.95431691956752307</v>
      </c>
      <c r="K27" s="15">
        <f t="shared" si="1"/>
        <v>1.2945395275215273E-2</v>
      </c>
    </row>
    <row r="28" spans="1:11" ht="15.75" x14ac:dyDescent="0.25">
      <c r="A28" s="6">
        <v>14</v>
      </c>
      <c r="B28" s="6" t="s">
        <v>18</v>
      </c>
      <c r="C28" s="6" t="s">
        <v>15</v>
      </c>
      <c r="D28" s="6" t="s">
        <v>13</v>
      </c>
      <c r="E28" s="6">
        <v>7.6200000000000004E-2</v>
      </c>
      <c r="F28" s="6">
        <v>5.45E-2</v>
      </c>
      <c r="G28" s="6">
        <v>2.1700000000000001E-2</v>
      </c>
      <c r="H28" s="11">
        <v>5.8843527</v>
      </c>
      <c r="I28" s="12">
        <v>12.523999999999999</v>
      </c>
      <c r="J28" s="18">
        <f t="shared" si="0"/>
        <v>1.1283564460709501</v>
      </c>
      <c r="K28" s="15">
        <f t="shared" si="1"/>
        <v>1.2949597667726478E-2</v>
      </c>
    </row>
    <row r="29" spans="1:11" ht="15.75" x14ac:dyDescent="0.25">
      <c r="A29" s="6"/>
      <c r="B29" s="6" t="s">
        <v>18</v>
      </c>
      <c r="C29" s="6" t="s">
        <v>15</v>
      </c>
      <c r="D29" s="6" t="s">
        <v>14</v>
      </c>
      <c r="E29" s="6">
        <v>9.5399999999999999E-2</v>
      </c>
      <c r="F29" s="6">
        <v>6.7500000000000004E-2</v>
      </c>
      <c r="G29" s="6">
        <v>2.7900000000000001E-2</v>
      </c>
      <c r="H29" s="11">
        <v>7.3706516999999998</v>
      </c>
      <c r="I29" s="12">
        <v>14.153</v>
      </c>
      <c r="J29" s="18">
        <f t="shared" si="0"/>
        <v>0.92018298734696702</v>
      </c>
      <c r="K29" s="15">
        <f t="shared" si="1"/>
        <v>1.2943224545531028E-2</v>
      </c>
    </row>
    <row r="30" spans="1:11" ht="15.75" x14ac:dyDescent="0.25">
      <c r="A30" s="6">
        <v>15</v>
      </c>
      <c r="B30" s="6" t="s">
        <v>18</v>
      </c>
      <c r="C30" s="6" t="s">
        <v>16</v>
      </c>
      <c r="D30" s="6" t="s">
        <v>13</v>
      </c>
      <c r="E30" s="6">
        <v>0.1178</v>
      </c>
      <c r="F30" s="6">
        <v>9.0899999999999995E-2</v>
      </c>
      <c r="G30" s="6">
        <v>2.69E-2</v>
      </c>
      <c r="H30" s="11">
        <v>6.2344803999999998</v>
      </c>
      <c r="I30" s="12">
        <v>13.601000000000001</v>
      </c>
      <c r="J30" s="18">
        <f t="shared" si="0"/>
        <v>1.181577152764808</v>
      </c>
      <c r="K30" s="15">
        <f t="shared" si="1"/>
        <v>1.889491865272365E-2</v>
      </c>
    </row>
    <row r="31" spans="1:11" ht="15.75" x14ac:dyDescent="0.25">
      <c r="A31" s="6"/>
      <c r="B31" s="6" t="s">
        <v>18</v>
      </c>
      <c r="C31" s="6" t="s">
        <v>16</v>
      </c>
      <c r="D31" s="6" t="s">
        <v>14</v>
      </c>
      <c r="E31" s="6">
        <v>9.6500000000000002E-2</v>
      </c>
      <c r="F31" s="6">
        <v>7.0999999999999994E-2</v>
      </c>
      <c r="G31" s="6">
        <v>2.5499999999999998E-2</v>
      </c>
      <c r="H31" s="11">
        <v>5.5488067000000001</v>
      </c>
      <c r="I31" s="12">
        <v>11.441000000000001</v>
      </c>
      <c r="J31" s="18">
        <f t="shared" si="0"/>
        <v>1.0618847652415069</v>
      </c>
      <c r="K31" s="15">
        <f t="shared" si="1"/>
        <v>1.7391126636291006E-2</v>
      </c>
    </row>
    <row r="32" spans="1:11" ht="15.75" x14ac:dyDescent="0.25">
      <c r="A32" s="6">
        <v>16</v>
      </c>
      <c r="B32" s="6" t="s">
        <v>18</v>
      </c>
      <c r="C32" s="6" t="s">
        <v>17</v>
      </c>
      <c r="D32" s="6" t="s">
        <v>13</v>
      </c>
      <c r="E32" s="6">
        <v>9.4200000000000006E-2</v>
      </c>
      <c r="F32" s="6">
        <v>6.9900000000000004E-2</v>
      </c>
      <c r="G32" s="6">
        <v>2.4299999999999999E-2</v>
      </c>
      <c r="H32" s="11">
        <v>7.8112380000000003</v>
      </c>
      <c r="I32" s="12">
        <v>12.029</v>
      </c>
      <c r="J32" s="18">
        <f t="shared" si="0"/>
        <v>0.53996075910118213</v>
      </c>
      <c r="K32" s="15">
        <f t="shared" si="1"/>
        <v>1.2059548051153992E-2</v>
      </c>
    </row>
    <row r="33" spans="1:11" ht="15.75" x14ac:dyDescent="0.25">
      <c r="A33" s="6"/>
      <c r="B33" s="6" t="s">
        <v>18</v>
      </c>
      <c r="C33" s="6" t="s">
        <v>17</v>
      </c>
      <c r="D33" s="6" t="s">
        <v>14</v>
      </c>
      <c r="E33" s="6">
        <v>9.35E-2</v>
      </c>
      <c r="F33" s="6">
        <v>6.0900000000000003E-2</v>
      </c>
      <c r="G33" s="6">
        <v>3.2599999999999997E-2</v>
      </c>
      <c r="H33" s="11">
        <v>7.7946754</v>
      </c>
      <c r="I33" s="12">
        <v>10.887</v>
      </c>
      <c r="J33" s="18">
        <f t="shared" si="0"/>
        <v>0.39672269097953716</v>
      </c>
      <c r="K33" s="15">
        <f t="shared" si="1"/>
        <v>1.1995368017505899E-2</v>
      </c>
    </row>
    <row r="34" spans="1:11" ht="15.75" x14ac:dyDescent="0.25">
      <c r="A34" s="6">
        <v>17</v>
      </c>
      <c r="B34" s="6" t="s">
        <v>11</v>
      </c>
      <c r="C34" s="6" t="s">
        <v>12</v>
      </c>
      <c r="D34" s="6" t="s">
        <v>13</v>
      </c>
      <c r="E34" s="6">
        <v>7.1300000000000002E-2</v>
      </c>
      <c r="F34" s="6">
        <v>5.3499999999999999E-2</v>
      </c>
      <c r="G34" s="6">
        <v>1.78E-2</v>
      </c>
      <c r="H34" s="11">
        <v>5.9435514999999999</v>
      </c>
      <c r="I34" s="12">
        <v>12.927</v>
      </c>
      <c r="J34" s="18">
        <f t="shared" ref="J34:J65" si="2">(I34-H34)/H34</f>
        <v>1.1749622258678165</v>
      </c>
      <c r="K34" s="15">
        <f t="shared" ref="K34:K65" si="3">E34/H34</f>
        <v>1.1996194531165415E-2</v>
      </c>
    </row>
    <row r="35" spans="1:11" ht="15.75" x14ac:dyDescent="0.25">
      <c r="A35" s="6"/>
      <c r="B35" s="6" t="s">
        <v>11</v>
      </c>
      <c r="C35" s="6" t="s">
        <v>12</v>
      </c>
      <c r="D35" s="6" t="s">
        <v>14</v>
      </c>
      <c r="E35" s="6">
        <v>6.0400000000000002E-2</v>
      </c>
      <c r="F35" s="6">
        <v>4.6699999999999998E-2</v>
      </c>
      <c r="G35" s="6">
        <v>1.37E-2</v>
      </c>
      <c r="H35" s="11">
        <v>5.8133900000000001</v>
      </c>
      <c r="I35" s="12">
        <v>11.269</v>
      </c>
      <c r="J35" s="18">
        <f t="shared" si="2"/>
        <v>0.93845587514341888</v>
      </c>
      <c r="K35" s="15">
        <f t="shared" si="3"/>
        <v>1.038980698009251E-2</v>
      </c>
    </row>
    <row r="36" spans="1:11" ht="15.75" x14ac:dyDescent="0.25">
      <c r="A36" s="6">
        <v>18</v>
      </c>
      <c r="B36" s="6" t="s">
        <v>11</v>
      </c>
      <c r="C36" s="6" t="s">
        <v>15</v>
      </c>
      <c r="D36" s="6" t="s">
        <v>13</v>
      </c>
      <c r="E36" s="6">
        <v>0.1211</v>
      </c>
      <c r="F36" s="6">
        <v>8.4099999999999994E-2</v>
      </c>
      <c r="G36" s="6">
        <v>3.6999999999999998E-2</v>
      </c>
      <c r="H36" s="11">
        <v>6.3971334000000004</v>
      </c>
      <c r="I36" s="12">
        <v>12.25</v>
      </c>
      <c r="J36" s="18">
        <f t="shared" si="2"/>
        <v>0.91492020472794877</v>
      </c>
      <c r="K36" s="15">
        <f t="shared" si="3"/>
        <v>1.8930354023882007E-2</v>
      </c>
    </row>
    <row r="37" spans="1:11" ht="15.75" x14ac:dyDescent="0.25">
      <c r="A37" s="6"/>
      <c r="B37" s="6" t="s">
        <v>11</v>
      </c>
      <c r="C37" s="6" t="s">
        <v>15</v>
      </c>
      <c r="D37" s="6" t="s">
        <v>14</v>
      </c>
      <c r="E37" s="6">
        <v>7.0300000000000001E-2</v>
      </c>
      <c r="F37" s="6">
        <v>5.3199999999999997E-2</v>
      </c>
      <c r="G37" s="6">
        <v>1.7100000000000001E-2</v>
      </c>
      <c r="H37" s="11">
        <v>5.4194050000000002</v>
      </c>
      <c r="I37" s="12">
        <v>11.821</v>
      </c>
      <c r="J37" s="18">
        <f t="shared" si="2"/>
        <v>1.1812357629665986</v>
      </c>
      <c r="K37" s="15">
        <f t="shared" si="3"/>
        <v>1.2971903742200482E-2</v>
      </c>
    </row>
    <row r="38" spans="1:11" ht="15.75" x14ac:dyDescent="0.25">
      <c r="A38" s="6">
        <v>19</v>
      </c>
      <c r="B38" s="6" t="s">
        <v>11</v>
      </c>
      <c r="C38" s="6" t="s">
        <v>16</v>
      </c>
      <c r="D38" s="6" t="s">
        <v>13</v>
      </c>
      <c r="E38" s="6">
        <v>0.1065</v>
      </c>
      <c r="F38" s="6">
        <v>8.2100000000000006E-2</v>
      </c>
      <c r="G38" s="6">
        <v>2.4400000000000002E-2</v>
      </c>
      <c r="H38" s="11">
        <v>6.2496423999999999</v>
      </c>
      <c r="I38" s="12">
        <v>12.304</v>
      </c>
      <c r="J38" s="18">
        <f t="shared" si="2"/>
        <v>0.96875264415128781</v>
      </c>
      <c r="K38" s="15">
        <f t="shared" si="3"/>
        <v>1.7040975016426541E-2</v>
      </c>
    </row>
    <row r="39" spans="1:11" ht="15.75" x14ac:dyDescent="0.25">
      <c r="A39" s="6"/>
      <c r="B39" s="6" t="s">
        <v>11</v>
      </c>
      <c r="C39" s="6" t="s">
        <v>16</v>
      </c>
      <c r="D39" s="6" t="s">
        <v>14</v>
      </c>
      <c r="E39" s="6">
        <v>0.12809999999999999</v>
      </c>
      <c r="F39" s="6">
        <v>0.10050000000000001</v>
      </c>
      <c r="G39" s="6">
        <v>2.76E-2</v>
      </c>
      <c r="H39" s="11">
        <v>7.5447736000000001</v>
      </c>
      <c r="I39" s="12">
        <v>13.218999999999999</v>
      </c>
      <c r="J39" s="18">
        <f t="shared" si="2"/>
        <v>0.75207377992097724</v>
      </c>
      <c r="K39" s="15">
        <f t="shared" si="3"/>
        <v>1.6978640684460033E-2</v>
      </c>
    </row>
    <row r="40" spans="1:11" ht="15.75" x14ac:dyDescent="0.25">
      <c r="A40" s="6">
        <v>20</v>
      </c>
      <c r="B40" s="6" t="s">
        <v>11</v>
      </c>
      <c r="C40" s="6" t="s">
        <v>17</v>
      </c>
      <c r="D40" s="6" t="s">
        <v>13</v>
      </c>
      <c r="E40" s="6">
        <v>9.6299999999999997E-2</v>
      </c>
      <c r="F40" s="6">
        <v>7.51E-2</v>
      </c>
      <c r="G40" s="6">
        <v>2.12E-2</v>
      </c>
      <c r="H40" s="11">
        <v>7.8576040000000003</v>
      </c>
      <c r="I40" s="12">
        <v>12.141999999999999</v>
      </c>
      <c r="J40" s="18">
        <f t="shared" si="2"/>
        <v>0.5452547621386874</v>
      </c>
      <c r="K40" s="15">
        <f t="shared" si="3"/>
        <v>1.225564434145574E-2</v>
      </c>
    </row>
    <row r="41" spans="1:11" ht="15.75" x14ac:dyDescent="0.25">
      <c r="A41" s="6"/>
      <c r="B41" s="6" t="s">
        <v>11</v>
      </c>
      <c r="C41" s="6" t="s">
        <v>17</v>
      </c>
      <c r="D41" s="6" t="s">
        <v>14</v>
      </c>
      <c r="E41" s="6">
        <v>9.6799999999999997E-2</v>
      </c>
      <c r="F41" s="6">
        <v>7.0599999999999996E-2</v>
      </c>
      <c r="G41" s="6">
        <v>2.6200000000000001E-2</v>
      </c>
      <c r="H41" s="11">
        <v>7.6137839999999999</v>
      </c>
      <c r="I41" s="12">
        <v>8.7040000000000006</v>
      </c>
      <c r="J41" s="18">
        <f t="shared" si="2"/>
        <v>0.14318977265443841</v>
      </c>
      <c r="K41" s="15">
        <f t="shared" si="3"/>
        <v>1.2713783317204691E-2</v>
      </c>
    </row>
    <row r="42" spans="1:11" ht="15.75" x14ac:dyDescent="0.25">
      <c r="A42" s="6">
        <v>21</v>
      </c>
      <c r="B42" s="6" t="s">
        <v>18</v>
      </c>
      <c r="C42" s="6" t="s">
        <v>12</v>
      </c>
      <c r="D42" s="6" t="s">
        <v>13</v>
      </c>
      <c r="E42" s="6">
        <v>4.9700000000000001E-2</v>
      </c>
      <c r="F42" s="6">
        <v>3.73E-2</v>
      </c>
      <c r="G42" s="6">
        <v>1.24E-2</v>
      </c>
      <c r="H42" s="11">
        <v>4.0783379999999996</v>
      </c>
      <c r="I42" s="12">
        <v>11.343999999999999</v>
      </c>
      <c r="J42" s="18">
        <f t="shared" si="2"/>
        <v>1.7815252193418007</v>
      </c>
      <c r="K42" s="15">
        <f t="shared" si="3"/>
        <v>1.2186336689112086E-2</v>
      </c>
    </row>
    <row r="43" spans="1:11" ht="15.75" x14ac:dyDescent="0.25">
      <c r="A43" s="6"/>
      <c r="B43" s="6" t="s">
        <v>18</v>
      </c>
      <c r="C43" s="6" t="s">
        <v>12</v>
      </c>
      <c r="D43" s="6" t="s">
        <v>14</v>
      </c>
      <c r="E43" s="6">
        <v>8.3400000000000002E-2</v>
      </c>
      <c r="F43" s="6">
        <v>6.13E-2</v>
      </c>
      <c r="G43" s="6">
        <v>2.2100000000000002E-2</v>
      </c>
      <c r="H43" s="11">
        <v>5.2175989999999999</v>
      </c>
      <c r="I43" s="12">
        <v>12.887</v>
      </c>
      <c r="J43" s="18">
        <f t="shared" si="2"/>
        <v>1.4699100103323388</v>
      </c>
      <c r="K43" s="15">
        <f t="shared" si="3"/>
        <v>1.5984363689122143E-2</v>
      </c>
    </row>
    <row r="44" spans="1:11" ht="15.75" x14ac:dyDescent="0.25">
      <c r="A44" s="6">
        <v>22</v>
      </c>
      <c r="B44" s="6" t="s">
        <v>18</v>
      </c>
      <c r="C44" s="6" t="s">
        <v>15</v>
      </c>
      <c r="D44" s="6" t="s">
        <v>13</v>
      </c>
      <c r="E44" s="6">
        <v>8.9099999999999999E-2</v>
      </c>
      <c r="F44" s="6">
        <v>6.6900000000000001E-2</v>
      </c>
      <c r="G44" s="6">
        <v>2.2200000000000001E-2</v>
      </c>
      <c r="H44" s="11">
        <v>6.5700054000000003</v>
      </c>
      <c r="I44" s="12">
        <v>13.147</v>
      </c>
      <c r="J44" s="18">
        <f t="shared" si="2"/>
        <v>1.0010638043006783</v>
      </c>
      <c r="K44" s="15">
        <f t="shared" si="3"/>
        <v>1.3561632689069021E-2</v>
      </c>
    </row>
    <row r="45" spans="1:11" ht="15.75" x14ac:dyDescent="0.25">
      <c r="A45" s="6"/>
      <c r="B45" s="6" t="s">
        <v>18</v>
      </c>
      <c r="C45" s="6" t="s">
        <v>15</v>
      </c>
      <c r="D45" s="6" t="s">
        <v>14</v>
      </c>
      <c r="E45" s="6">
        <v>6.5100000000000005E-2</v>
      </c>
      <c r="F45" s="6">
        <v>4.6899999999999997E-2</v>
      </c>
      <c r="G45" s="6">
        <v>1.8200000000000001E-2</v>
      </c>
      <c r="H45" s="11">
        <v>6.400423</v>
      </c>
      <c r="I45" s="12">
        <v>12.567</v>
      </c>
      <c r="J45" s="18">
        <f t="shared" si="2"/>
        <v>0.96346397730275013</v>
      </c>
      <c r="K45" s="15">
        <f t="shared" si="3"/>
        <v>1.0171202747068437E-2</v>
      </c>
    </row>
    <row r="46" spans="1:11" ht="15.75" x14ac:dyDescent="0.25">
      <c r="A46" s="6">
        <v>23</v>
      </c>
      <c r="B46" s="6" t="s">
        <v>18</v>
      </c>
      <c r="C46" s="6" t="s">
        <v>16</v>
      </c>
      <c r="D46" s="6" t="s">
        <v>13</v>
      </c>
      <c r="E46" s="6">
        <v>0.1399</v>
      </c>
      <c r="F46" s="6">
        <v>0.10249999999999999</v>
      </c>
      <c r="G46" s="6">
        <v>3.7400000000000003E-2</v>
      </c>
      <c r="H46" s="11">
        <v>7.0281130000000003</v>
      </c>
      <c r="I46" s="12">
        <v>13.271000000000001</v>
      </c>
      <c r="J46" s="18">
        <f t="shared" si="2"/>
        <v>0.88827356646086941</v>
      </c>
      <c r="K46" s="15">
        <f t="shared" si="3"/>
        <v>1.9905769870234014E-2</v>
      </c>
    </row>
    <row r="47" spans="1:11" ht="15.75" x14ac:dyDescent="0.25">
      <c r="A47" s="6"/>
      <c r="B47" s="6" t="s">
        <v>18</v>
      </c>
      <c r="C47" s="6" t="s">
        <v>16</v>
      </c>
      <c r="D47" s="6" t="s">
        <v>14</v>
      </c>
      <c r="E47" s="6">
        <v>0.1057</v>
      </c>
      <c r="F47" s="6">
        <v>7.6200000000000004E-2</v>
      </c>
      <c r="G47" s="6">
        <v>2.9499999999999998E-2</v>
      </c>
      <c r="H47" s="11">
        <v>6.1072354000000004</v>
      </c>
      <c r="I47" s="12">
        <v>13.313000000000001</v>
      </c>
      <c r="J47" s="18">
        <f t="shared" si="2"/>
        <v>1.1798734006552294</v>
      </c>
      <c r="K47" s="15">
        <f t="shared" si="3"/>
        <v>1.730734007731223E-2</v>
      </c>
    </row>
    <row r="48" spans="1:11" ht="15.75" x14ac:dyDescent="0.25">
      <c r="A48" s="6">
        <v>24</v>
      </c>
      <c r="B48" s="6" t="s">
        <v>18</v>
      </c>
      <c r="C48" s="6" t="s">
        <v>17</v>
      </c>
      <c r="D48" s="6" t="s">
        <v>13</v>
      </c>
      <c r="E48" s="6">
        <v>8.8900000000000007E-2</v>
      </c>
      <c r="F48" s="6">
        <v>6.5500000000000003E-2</v>
      </c>
      <c r="G48" s="6">
        <v>2.3400000000000001E-2</v>
      </c>
      <c r="H48" s="11">
        <v>5.7081685000000002</v>
      </c>
      <c r="I48" s="12">
        <v>9.7240000000000002</v>
      </c>
      <c r="J48" s="18">
        <f t="shared" si="2"/>
        <v>0.70352364335425621</v>
      </c>
      <c r="K48" s="15">
        <f t="shared" si="3"/>
        <v>1.5574172346173734E-2</v>
      </c>
    </row>
    <row r="49" spans="1:11" ht="15.75" x14ac:dyDescent="0.25">
      <c r="A49" s="6"/>
      <c r="B49" s="6" t="s">
        <v>18</v>
      </c>
      <c r="C49" s="6" t="s">
        <v>17</v>
      </c>
      <c r="D49" s="6" t="s">
        <v>14</v>
      </c>
      <c r="E49" s="6">
        <v>9.9599999999999994E-2</v>
      </c>
      <c r="F49" s="6">
        <v>7.6100000000000001E-2</v>
      </c>
      <c r="G49" s="6">
        <v>2.35E-2</v>
      </c>
      <c r="H49" s="11">
        <v>5.5614347000000004</v>
      </c>
      <c r="I49" s="12">
        <v>13.343999999999999</v>
      </c>
      <c r="J49" s="18">
        <f t="shared" si="2"/>
        <v>1.3993808647973514</v>
      </c>
      <c r="K49" s="15">
        <f t="shared" si="3"/>
        <v>1.7909047821778792E-2</v>
      </c>
    </row>
    <row r="50" spans="1:11" ht="15.75" x14ac:dyDescent="0.25">
      <c r="A50" s="6">
        <v>25</v>
      </c>
      <c r="B50" s="6" t="s">
        <v>11</v>
      </c>
      <c r="C50" s="6" t="s">
        <v>12</v>
      </c>
      <c r="D50" s="6" t="s">
        <v>13</v>
      </c>
      <c r="E50" s="6">
        <v>8.0799999999999997E-2</v>
      </c>
      <c r="F50" s="6">
        <v>6.0600000000000001E-2</v>
      </c>
      <c r="G50" s="6">
        <v>2.0199999999999999E-2</v>
      </c>
      <c r="H50" s="11">
        <v>7.093852</v>
      </c>
      <c r="I50" s="12">
        <v>13.474</v>
      </c>
      <c r="J50" s="18">
        <f t="shared" si="2"/>
        <v>0.89939119113282884</v>
      </c>
      <c r="K50" s="15">
        <f t="shared" si="3"/>
        <v>1.1390144592810788E-2</v>
      </c>
    </row>
    <row r="51" spans="1:11" ht="15.75" x14ac:dyDescent="0.25">
      <c r="A51" s="6"/>
      <c r="B51" s="6" t="s">
        <v>11</v>
      </c>
      <c r="C51" s="6" t="s">
        <v>12</v>
      </c>
      <c r="D51" s="6" t="s">
        <v>14</v>
      </c>
      <c r="E51" s="6">
        <v>6.2899999999999998E-2</v>
      </c>
      <c r="F51" s="6">
        <v>4.5199999999999997E-2</v>
      </c>
      <c r="G51" s="6">
        <v>1.77E-2</v>
      </c>
      <c r="H51" s="11">
        <v>6.5434380000000001</v>
      </c>
      <c r="I51" s="12">
        <v>12.504</v>
      </c>
      <c r="J51" s="18">
        <f t="shared" si="2"/>
        <v>0.9109220565702616</v>
      </c>
      <c r="K51" s="15">
        <f t="shared" si="3"/>
        <v>9.612683729867998E-3</v>
      </c>
    </row>
    <row r="52" spans="1:11" ht="15.75" x14ac:dyDescent="0.25">
      <c r="A52" s="6">
        <v>26</v>
      </c>
      <c r="B52" s="6" t="s">
        <v>11</v>
      </c>
      <c r="C52" s="6" t="s">
        <v>15</v>
      </c>
      <c r="D52" s="6" t="s">
        <v>13</v>
      </c>
      <c r="E52" s="6">
        <v>8.9300000000000004E-2</v>
      </c>
      <c r="F52" s="6">
        <v>7.0300000000000001E-2</v>
      </c>
      <c r="G52" s="6">
        <v>1.9E-2</v>
      </c>
      <c r="H52" s="11">
        <v>7.0891237</v>
      </c>
      <c r="I52" s="12">
        <v>13.278</v>
      </c>
      <c r="J52" s="18">
        <f t="shared" si="2"/>
        <v>0.87301005905708773</v>
      </c>
      <c r="K52" s="15">
        <f t="shared" si="3"/>
        <v>1.2596761430471301E-2</v>
      </c>
    </row>
    <row r="53" spans="1:11" ht="15.75" x14ac:dyDescent="0.25">
      <c r="A53" s="6"/>
      <c r="B53" s="6" t="s">
        <v>11</v>
      </c>
      <c r="C53" s="6" t="s">
        <v>15</v>
      </c>
      <c r="D53" s="6" t="s">
        <v>14</v>
      </c>
      <c r="E53" s="6">
        <v>9.1300000000000006E-2</v>
      </c>
      <c r="F53" s="6">
        <v>6.6100000000000006E-2</v>
      </c>
      <c r="G53" s="6">
        <v>2.52E-2</v>
      </c>
      <c r="H53" s="11">
        <v>6.2831409999999996</v>
      </c>
      <c r="I53" s="12">
        <v>12.473000000000001</v>
      </c>
      <c r="J53" s="18">
        <f t="shared" si="2"/>
        <v>0.9851536039060721</v>
      </c>
      <c r="K53" s="15">
        <f t="shared" si="3"/>
        <v>1.4530948772278071E-2</v>
      </c>
    </row>
    <row r="54" spans="1:11" ht="15.75" x14ac:dyDescent="0.25">
      <c r="A54" s="6">
        <v>27</v>
      </c>
      <c r="B54" s="6" t="s">
        <v>11</v>
      </c>
      <c r="C54" s="6" t="s">
        <v>16</v>
      </c>
      <c r="D54" s="6" t="s">
        <v>13</v>
      </c>
      <c r="E54" s="6">
        <v>9.7900000000000001E-2</v>
      </c>
      <c r="F54" s="6">
        <v>7.5300000000000006E-2</v>
      </c>
      <c r="G54" s="6">
        <v>2.2599999999999999E-2</v>
      </c>
      <c r="H54" s="11">
        <v>6.1091613999999996</v>
      </c>
      <c r="I54" s="12">
        <v>11.95</v>
      </c>
      <c r="J54" s="18">
        <f t="shared" si="2"/>
        <v>0.95607861989044851</v>
      </c>
      <c r="K54" s="15">
        <f t="shared" si="3"/>
        <v>1.6025112710232211E-2</v>
      </c>
    </row>
    <row r="55" spans="1:11" ht="15.75" x14ac:dyDescent="0.25">
      <c r="A55" s="6"/>
      <c r="B55" s="6" t="s">
        <v>11</v>
      </c>
      <c r="C55" s="6" t="s">
        <v>16</v>
      </c>
      <c r="D55" s="6" t="s">
        <v>14</v>
      </c>
      <c r="E55" s="6">
        <v>0.12429999999999999</v>
      </c>
      <c r="F55" s="6">
        <v>8.5699999999999998E-2</v>
      </c>
      <c r="G55" s="6">
        <v>3.8600000000000002E-2</v>
      </c>
      <c r="H55" s="11">
        <v>6.5087605000000002</v>
      </c>
      <c r="I55" s="12">
        <v>12.773999999999999</v>
      </c>
      <c r="J55" s="18">
        <f t="shared" si="2"/>
        <v>0.96258565666996021</v>
      </c>
      <c r="K55" s="15">
        <f t="shared" si="3"/>
        <v>1.9097338118371384E-2</v>
      </c>
    </row>
    <row r="56" spans="1:11" ht="15.75" x14ac:dyDescent="0.25">
      <c r="A56" s="6">
        <v>28</v>
      </c>
      <c r="B56" s="6" t="s">
        <v>11</v>
      </c>
      <c r="C56" s="6" t="s">
        <v>17</v>
      </c>
      <c r="D56" s="6" t="s">
        <v>13</v>
      </c>
      <c r="E56" s="6">
        <v>5.3699999999999998E-2</v>
      </c>
      <c r="F56" s="6">
        <v>3.7900000000000003E-2</v>
      </c>
      <c r="G56" s="6">
        <v>1.5800000000000002E-2</v>
      </c>
      <c r="H56" s="11">
        <v>4.7618136</v>
      </c>
      <c r="I56" s="12">
        <v>11.438000000000001</v>
      </c>
      <c r="J56" s="18">
        <f t="shared" si="2"/>
        <v>1.4020259843854452</v>
      </c>
      <c r="K56" s="15">
        <f t="shared" si="3"/>
        <v>1.1277215891021018E-2</v>
      </c>
    </row>
    <row r="57" spans="1:11" ht="15.75" x14ac:dyDescent="0.25">
      <c r="A57" s="6"/>
      <c r="B57" s="6" t="s">
        <v>11</v>
      </c>
      <c r="C57" s="6" t="s">
        <v>17</v>
      </c>
      <c r="D57" s="6" t="s">
        <v>14</v>
      </c>
      <c r="E57" s="6">
        <v>6.2300000000000001E-2</v>
      </c>
      <c r="F57" s="6">
        <v>4.7100000000000003E-2</v>
      </c>
      <c r="G57" s="6">
        <v>1.52E-2</v>
      </c>
      <c r="H57" s="11">
        <v>5.237114</v>
      </c>
      <c r="I57" s="12">
        <v>10.170999999999999</v>
      </c>
      <c r="J57" s="18">
        <f t="shared" si="2"/>
        <v>0.94210017196494089</v>
      </c>
      <c r="K57" s="15">
        <f t="shared" si="3"/>
        <v>1.1895864783542997E-2</v>
      </c>
    </row>
    <row r="58" spans="1:11" ht="15.75" x14ac:dyDescent="0.25">
      <c r="A58" s="6">
        <v>29</v>
      </c>
      <c r="B58" s="6" t="s">
        <v>18</v>
      </c>
      <c r="C58" s="6" t="s">
        <v>12</v>
      </c>
      <c r="D58" s="6" t="s">
        <v>13</v>
      </c>
      <c r="E58" s="6">
        <v>6.2600000000000003E-2</v>
      </c>
      <c r="F58" s="6">
        <v>4.7699999999999999E-2</v>
      </c>
      <c r="G58" s="6">
        <v>1.49E-2</v>
      </c>
      <c r="H58" s="11">
        <v>6.2518333999999998</v>
      </c>
      <c r="I58" s="12">
        <v>13.686</v>
      </c>
      <c r="J58" s="18">
        <f t="shared" si="2"/>
        <v>1.1891178354176872</v>
      </c>
      <c r="K58" s="15">
        <f t="shared" si="3"/>
        <v>1.0013062728127081E-2</v>
      </c>
    </row>
    <row r="59" spans="1:11" ht="15.75" x14ac:dyDescent="0.25">
      <c r="A59" s="6"/>
      <c r="B59" s="6" t="s">
        <v>18</v>
      </c>
      <c r="C59" s="6" t="s">
        <v>12</v>
      </c>
      <c r="D59" s="6" t="s">
        <v>14</v>
      </c>
      <c r="E59" s="6">
        <v>5.67E-2</v>
      </c>
      <c r="F59" s="6">
        <v>4.2599999999999999E-2</v>
      </c>
      <c r="G59" s="6">
        <v>1.41E-2</v>
      </c>
      <c r="H59" s="11">
        <v>5.1040273000000003</v>
      </c>
      <c r="I59" s="12">
        <v>11.5</v>
      </c>
      <c r="J59" s="18">
        <f t="shared" si="2"/>
        <v>1.2531227448567916</v>
      </c>
      <c r="K59" s="15">
        <f t="shared" si="3"/>
        <v>1.1108874750728703E-2</v>
      </c>
    </row>
    <row r="60" spans="1:11" ht="15.75" x14ac:dyDescent="0.25">
      <c r="A60" s="6">
        <v>30</v>
      </c>
      <c r="B60" s="6" t="s">
        <v>18</v>
      </c>
      <c r="C60" s="6" t="s">
        <v>15</v>
      </c>
      <c r="D60" s="6" t="s">
        <v>13</v>
      </c>
      <c r="E60" s="6">
        <v>6.8900000000000003E-2</v>
      </c>
      <c r="F60" s="6">
        <v>4.5699999999999998E-2</v>
      </c>
      <c r="G60" s="6">
        <v>2.3199999999999998E-2</v>
      </c>
      <c r="H60" s="11">
        <v>5.1822352</v>
      </c>
      <c r="I60" s="12">
        <v>12.128</v>
      </c>
      <c r="J60" s="18">
        <f t="shared" si="2"/>
        <v>1.340302887063096</v>
      </c>
      <c r="K60" s="15">
        <f t="shared" si="3"/>
        <v>1.3295421249888466E-2</v>
      </c>
    </row>
    <row r="61" spans="1:11" ht="15.75" x14ac:dyDescent="0.25">
      <c r="A61" s="6"/>
      <c r="B61" s="6" t="s">
        <v>18</v>
      </c>
      <c r="C61" s="6" t="s">
        <v>15</v>
      </c>
      <c r="D61" s="6" t="s">
        <v>14</v>
      </c>
      <c r="E61" s="6">
        <v>7.4899999999999994E-2</v>
      </c>
      <c r="F61" s="6">
        <v>4.7500000000000001E-2</v>
      </c>
      <c r="G61" s="6">
        <v>2.7400000000000001E-2</v>
      </c>
      <c r="H61" s="11">
        <v>7.4133659999999999</v>
      </c>
      <c r="I61" s="12">
        <v>12.672000000000001</v>
      </c>
      <c r="J61" s="18">
        <f t="shared" si="2"/>
        <v>0.70934498579997274</v>
      </c>
      <c r="K61" s="15">
        <f t="shared" si="3"/>
        <v>1.0103372745929446E-2</v>
      </c>
    </row>
    <row r="62" spans="1:11" ht="15.75" x14ac:dyDescent="0.25">
      <c r="A62" s="6">
        <v>31</v>
      </c>
      <c r="B62" s="6" t="s">
        <v>18</v>
      </c>
      <c r="C62" s="6" t="s">
        <v>16</v>
      </c>
      <c r="D62" s="6" t="s">
        <v>13</v>
      </c>
      <c r="E62" s="6">
        <v>9.01E-2</v>
      </c>
      <c r="F62" s="6">
        <v>6.7699999999999996E-2</v>
      </c>
      <c r="G62" s="6">
        <v>2.24E-2</v>
      </c>
      <c r="H62" s="11">
        <v>7.6265960000000002</v>
      </c>
      <c r="I62" s="12">
        <v>14.975</v>
      </c>
      <c r="J62" s="18">
        <f t="shared" si="2"/>
        <v>0.96352343824164799</v>
      </c>
      <c r="K62" s="15">
        <f t="shared" si="3"/>
        <v>1.18139206534606E-2</v>
      </c>
    </row>
    <row r="63" spans="1:11" ht="15.75" x14ac:dyDescent="0.25">
      <c r="A63" s="6"/>
      <c r="B63" s="6" t="s">
        <v>18</v>
      </c>
      <c r="C63" s="6" t="s">
        <v>16</v>
      </c>
      <c r="D63" s="6" t="s">
        <v>14</v>
      </c>
      <c r="E63" s="6">
        <v>0.10440000000000001</v>
      </c>
      <c r="F63" s="6">
        <v>7.8100000000000003E-2</v>
      </c>
      <c r="G63" s="6">
        <v>2.63E-2</v>
      </c>
      <c r="H63" s="11">
        <v>6.3101450000000003</v>
      </c>
      <c r="I63" s="12">
        <v>12.617000000000001</v>
      </c>
      <c r="J63" s="18">
        <f t="shared" si="2"/>
        <v>0.99947861736933152</v>
      </c>
      <c r="K63" s="15">
        <f t="shared" si="3"/>
        <v>1.6544786213312054E-2</v>
      </c>
    </row>
    <row r="64" spans="1:11" ht="15.75" x14ac:dyDescent="0.25">
      <c r="A64" s="6">
        <v>32</v>
      </c>
      <c r="B64" s="6" t="s">
        <v>18</v>
      </c>
      <c r="C64" s="6" t="s">
        <v>17</v>
      </c>
      <c r="D64" s="6" t="s">
        <v>13</v>
      </c>
      <c r="E64" s="6">
        <v>0.1042</v>
      </c>
      <c r="F64" s="6">
        <v>7.1599999999999997E-2</v>
      </c>
      <c r="G64" s="6">
        <v>3.2599999999999997E-2</v>
      </c>
      <c r="H64" s="11">
        <v>6.9856996999999996</v>
      </c>
      <c r="I64" s="12">
        <v>10.845000000000001</v>
      </c>
      <c r="J64" s="18">
        <f t="shared" si="2"/>
        <v>0.55245722915916373</v>
      </c>
      <c r="K64" s="15">
        <f t="shared" si="3"/>
        <v>1.4916186563244338E-2</v>
      </c>
    </row>
    <row r="65" spans="1:11" ht="15.75" x14ac:dyDescent="0.25">
      <c r="A65" s="6"/>
      <c r="B65" s="6" t="s">
        <v>18</v>
      </c>
      <c r="C65" s="6" t="s">
        <v>17</v>
      </c>
      <c r="D65" s="6" t="s">
        <v>14</v>
      </c>
      <c r="E65" s="6">
        <v>0.1028</v>
      </c>
      <c r="F65" s="6">
        <v>8.1500000000000003E-2</v>
      </c>
      <c r="G65" s="6">
        <v>2.1299999999999999E-2</v>
      </c>
      <c r="H65" s="11">
        <v>6.2883234000000003</v>
      </c>
      <c r="I65" s="12">
        <v>9.0470000000000006</v>
      </c>
      <c r="J65" s="18">
        <f t="shared" si="2"/>
        <v>0.43869827051197779</v>
      </c>
      <c r="K65" s="15">
        <f t="shared" si="3"/>
        <v>1.6347759722408678E-2</v>
      </c>
    </row>
    <row r="66" spans="1:11" ht="15.75" x14ac:dyDescent="0.25">
      <c r="A66" s="6">
        <v>33</v>
      </c>
      <c r="B66" s="6" t="s">
        <v>11</v>
      </c>
      <c r="C66" s="6" t="s">
        <v>12</v>
      </c>
      <c r="D66" s="6" t="s">
        <v>13</v>
      </c>
      <c r="E66" s="6">
        <v>9.1300000000000006E-2</v>
      </c>
      <c r="F66" s="6">
        <v>7.3200000000000001E-2</v>
      </c>
      <c r="G66" s="6">
        <v>1.8100000000000002E-2</v>
      </c>
      <c r="H66" s="11">
        <v>5.7894706999999999</v>
      </c>
      <c r="I66" s="12">
        <v>13.254</v>
      </c>
      <c r="J66" s="18">
        <f t="shared" ref="J66:J81" si="4">(I66-H66)/H66</f>
        <v>1.2893284527720297</v>
      </c>
      <c r="K66" s="15">
        <f t="shared" ref="K66:K81" si="5">E66/H66</f>
        <v>1.5770008128722372E-2</v>
      </c>
    </row>
    <row r="67" spans="1:11" ht="15.75" x14ac:dyDescent="0.25">
      <c r="A67" s="6"/>
      <c r="B67" s="6" t="s">
        <v>11</v>
      </c>
      <c r="C67" s="6" t="s">
        <v>12</v>
      </c>
      <c r="D67" s="6" t="s">
        <v>14</v>
      </c>
      <c r="E67" s="6">
        <v>0.11119999999999999</v>
      </c>
      <c r="F67" s="6">
        <v>8.8599999999999998E-2</v>
      </c>
      <c r="G67" s="6">
        <v>2.2599999999999999E-2</v>
      </c>
      <c r="H67" s="11">
        <v>6.7109237000000004</v>
      </c>
      <c r="I67" s="12">
        <v>14.513999999999999</v>
      </c>
      <c r="J67" s="18">
        <f t="shared" si="4"/>
        <v>1.1627425148642352</v>
      </c>
      <c r="K67" s="15">
        <f t="shared" si="5"/>
        <v>1.6569999149297434E-2</v>
      </c>
    </row>
    <row r="68" spans="1:11" ht="15.75" x14ac:dyDescent="0.25">
      <c r="A68" s="6">
        <v>34</v>
      </c>
      <c r="B68" s="6" t="s">
        <v>11</v>
      </c>
      <c r="C68" s="6" t="s">
        <v>15</v>
      </c>
      <c r="D68" s="6" t="s">
        <v>13</v>
      </c>
      <c r="E68" s="6">
        <v>8.4599999999999995E-2</v>
      </c>
      <c r="F68" s="6">
        <v>6.6799999999999998E-2</v>
      </c>
      <c r="G68" s="6">
        <v>1.78E-2</v>
      </c>
      <c r="H68" s="11">
        <v>6.1944413000000003</v>
      </c>
      <c r="I68" s="12">
        <v>10.823</v>
      </c>
      <c r="J68" s="18">
        <f t="shared" si="4"/>
        <v>0.74721164925721384</v>
      </c>
      <c r="K68" s="15">
        <f t="shared" si="5"/>
        <v>1.3657406035956785E-2</v>
      </c>
    </row>
    <row r="69" spans="1:11" ht="15.75" x14ac:dyDescent="0.25">
      <c r="A69" s="6"/>
      <c r="B69" s="6" t="s">
        <v>11</v>
      </c>
      <c r="C69" s="6" t="s">
        <v>15</v>
      </c>
      <c r="D69" s="6" t="s">
        <v>14</v>
      </c>
      <c r="E69" s="6">
        <v>9.7900000000000001E-2</v>
      </c>
      <c r="F69" s="6">
        <v>7.6600000000000001E-2</v>
      </c>
      <c r="G69" s="6">
        <v>2.1299999999999999E-2</v>
      </c>
      <c r="H69" s="11">
        <v>6.7228139999999996</v>
      </c>
      <c r="I69" s="12">
        <v>11.324999999999999</v>
      </c>
      <c r="J69" s="18">
        <f t="shared" si="4"/>
        <v>0.68456244661833565</v>
      </c>
      <c r="K69" s="15">
        <f t="shared" si="5"/>
        <v>1.4562354395049455E-2</v>
      </c>
    </row>
    <row r="70" spans="1:11" ht="15.75" x14ac:dyDescent="0.25">
      <c r="A70" s="6">
        <v>35</v>
      </c>
      <c r="B70" s="6" t="s">
        <v>11</v>
      </c>
      <c r="C70" s="6" t="s">
        <v>16</v>
      </c>
      <c r="D70" s="6" t="s">
        <v>13</v>
      </c>
      <c r="E70" s="6">
        <v>9.1399999999999995E-2</v>
      </c>
      <c r="F70" s="6">
        <v>7.2300000000000003E-2</v>
      </c>
      <c r="G70" s="6">
        <v>1.9099999999999999E-2</v>
      </c>
      <c r="H70" s="11">
        <v>6.2432559999999997</v>
      </c>
      <c r="I70" s="12">
        <v>12.172000000000001</v>
      </c>
      <c r="J70" s="18">
        <f t="shared" si="4"/>
        <v>0.94962372198096656</v>
      </c>
      <c r="K70" s="15">
        <f t="shared" si="5"/>
        <v>1.4639796926475544E-2</v>
      </c>
    </row>
    <row r="71" spans="1:11" ht="15.75" x14ac:dyDescent="0.25">
      <c r="A71" s="6"/>
      <c r="B71" s="6" t="s">
        <v>11</v>
      </c>
      <c r="C71" s="6" t="s">
        <v>16</v>
      </c>
      <c r="D71" s="6" t="s">
        <v>14</v>
      </c>
      <c r="E71" s="6">
        <v>9.8400000000000001E-2</v>
      </c>
      <c r="F71" s="6">
        <v>7.6399999999999996E-2</v>
      </c>
      <c r="G71" s="6">
        <v>2.1999999999999999E-2</v>
      </c>
      <c r="H71" s="11">
        <v>6.6419740000000003</v>
      </c>
      <c r="I71" s="12">
        <v>12.397</v>
      </c>
      <c r="J71" s="18">
        <f t="shared" si="4"/>
        <v>0.86646319302062902</v>
      </c>
      <c r="K71" s="15">
        <f t="shared" si="5"/>
        <v>1.4814872807391296E-2</v>
      </c>
    </row>
    <row r="72" spans="1:11" ht="15.75" x14ac:dyDescent="0.25">
      <c r="A72" s="6">
        <v>36</v>
      </c>
      <c r="B72" s="6" t="s">
        <v>11</v>
      </c>
      <c r="C72" s="6" t="s">
        <v>17</v>
      </c>
      <c r="D72" s="6" t="s">
        <v>13</v>
      </c>
      <c r="E72" s="6">
        <v>9.8799999999999999E-2</v>
      </c>
      <c r="F72" s="6">
        <v>7.8200000000000006E-2</v>
      </c>
      <c r="G72" s="6">
        <v>2.06E-2</v>
      </c>
      <c r="H72" s="11">
        <v>4.5641932000000001</v>
      </c>
      <c r="I72" s="12">
        <v>11.553000000000001</v>
      </c>
      <c r="J72" s="18">
        <f t="shared" si="4"/>
        <v>1.5312250147517859</v>
      </c>
      <c r="K72" s="15">
        <f t="shared" si="5"/>
        <v>2.1646761140610787E-2</v>
      </c>
    </row>
    <row r="73" spans="1:11" ht="15.75" x14ac:dyDescent="0.25">
      <c r="A73" s="6"/>
      <c r="B73" s="6" t="s">
        <v>11</v>
      </c>
      <c r="C73" s="6" t="s">
        <v>17</v>
      </c>
      <c r="D73" s="6" t="s">
        <v>14</v>
      </c>
      <c r="E73" s="6">
        <v>9.9099999999999994E-2</v>
      </c>
      <c r="F73" s="6">
        <v>7.8100000000000003E-2</v>
      </c>
      <c r="G73" s="6">
        <v>2.1000000000000001E-2</v>
      </c>
      <c r="H73" s="11">
        <v>4.5793689999999998</v>
      </c>
      <c r="I73" s="12">
        <v>12.416</v>
      </c>
      <c r="J73" s="18">
        <f t="shared" si="4"/>
        <v>1.7112905730025252</v>
      </c>
      <c r="K73" s="15">
        <f t="shared" si="5"/>
        <v>2.1640536065121636E-2</v>
      </c>
    </row>
    <row r="74" spans="1:11" ht="15.75" x14ac:dyDescent="0.25">
      <c r="A74" s="6">
        <v>37</v>
      </c>
      <c r="B74" s="6" t="s">
        <v>18</v>
      </c>
      <c r="C74" s="6" t="s">
        <v>12</v>
      </c>
      <c r="D74" s="6" t="s">
        <v>13</v>
      </c>
      <c r="E74" s="6">
        <v>6.6400000000000001E-2</v>
      </c>
      <c r="F74" s="6">
        <v>4.7699999999999999E-2</v>
      </c>
      <c r="G74" s="6">
        <v>1.8700000000000001E-2</v>
      </c>
      <c r="H74" s="11">
        <v>6.8208237</v>
      </c>
      <c r="I74" s="12">
        <v>12.840999999999999</v>
      </c>
      <c r="J74" s="18">
        <f t="shared" si="4"/>
        <v>0.88261719768537616</v>
      </c>
      <c r="K74" s="15">
        <f t="shared" si="5"/>
        <v>9.7348946286355421E-3</v>
      </c>
    </row>
    <row r="75" spans="1:11" ht="15.75" x14ac:dyDescent="0.25">
      <c r="A75" s="6"/>
      <c r="B75" s="6" t="s">
        <v>18</v>
      </c>
      <c r="C75" s="6" t="s">
        <v>12</v>
      </c>
      <c r="D75" s="6" t="s">
        <v>14</v>
      </c>
      <c r="E75" s="6">
        <v>6.3200000000000006E-2</v>
      </c>
      <c r="F75" s="6">
        <v>4.5499999999999999E-2</v>
      </c>
      <c r="G75" s="6">
        <v>1.77E-2</v>
      </c>
      <c r="H75" s="11">
        <v>7.6104254999999998</v>
      </c>
      <c r="I75" s="12">
        <v>15.121</v>
      </c>
      <c r="J75" s="18">
        <f t="shared" si="4"/>
        <v>0.98687970863127172</v>
      </c>
      <c r="K75" s="15">
        <f t="shared" si="5"/>
        <v>8.3043976976057386E-3</v>
      </c>
    </row>
    <row r="76" spans="1:11" ht="15.75" x14ac:dyDescent="0.25">
      <c r="A76" s="6">
        <v>38</v>
      </c>
      <c r="B76" s="6" t="s">
        <v>18</v>
      </c>
      <c r="C76" s="6" t="s">
        <v>15</v>
      </c>
      <c r="D76" s="6" t="s">
        <v>13</v>
      </c>
      <c r="E76" s="6">
        <v>7.1400000000000005E-2</v>
      </c>
      <c r="F76" s="6">
        <v>4.7800000000000002E-2</v>
      </c>
      <c r="G76" s="6">
        <v>2.3599999999999999E-2</v>
      </c>
      <c r="H76" s="11">
        <v>4.0677285000000003</v>
      </c>
      <c r="I76" s="12">
        <v>12.891</v>
      </c>
      <c r="J76" s="18">
        <f t="shared" si="4"/>
        <v>2.1690905624601053</v>
      </c>
      <c r="K76" s="15">
        <f t="shared" si="5"/>
        <v>1.7552793899592856E-2</v>
      </c>
    </row>
    <row r="77" spans="1:11" ht="15.75" x14ac:dyDescent="0.25">
      <c r="A77" s="6"/>
      <c r="B77" s="6" t="s">
        <v>18</v>
      </c>
      <c r="C77" s="6" t="s">
        <v>15</v>
      </c>
      <c r="D77" s="6" t="s">
        <v>14</v>
      </c>
      <c r="E77" s="6">
        <v>8.9599999999999999E-2</v>
      </c>
      <c r="F77" s="6">
        <v>6.08E-2</v>
      </c>
      <c r="G77" s="6">
        <v>2.8799999999999999E-2</v>
      </c>
      <c r="H77" s="11">
        <v>6.9435089999999997</v>
      </c>
      <c r="I77" s="12">
        <v>13.831</v>
      </c>
      <c r="J77" s="18">
        <f t="shared" si="4"/>
        <v>0.99193232125140185</v>
      </c>
      <c r="K77" s="15">
        <f t="shared" si="5"/>
        <v>1.2904138239037351E-2</v>
      </c>
    </row>
    <row r="78" spans="1:11" ht="15.75" x14ac:dyDescent="0.25">
      <c r="A78" s="6">
        <v>39</v>
      </c>
      <c r="B78" s="6" t="s">
        <v>18</v>
      </c>
      <c r="C78" s="6" t="s">
        <v>16</v>
      </c>
      <c r="D78" s="6" t="s">
        <v>13</v>
      </c>
      <c r="E78" s="6">
        <v>9.3399999999999997E-2</v>
      </c>
      <c r="F78" s="6">
        <v>6.4799999999999996E-2</v>
      </c>
      <c r="G78" s="6">
        <v>2.86E-2</v>
      </c>
      <c r="H78" s="11">
        <v>8.0449999999999999</v>
      </c>
      <c r="I78" s="12">
        <v>12.99</v>
      </c>
      <c r="J78" s="18">
        <f t="shared" si="4"/>
        <v>0.61466749533871978</v>
      </c>
      <c r="K78" s="15">
        <f t="shared" si="5"/>
        <v>1.1609695463020509E-2</v>
      </c>
    </row>
    <row r="79" spans="1:11" ht="15.75" x14ac:dyDescent="0.25">
      <c r="A79" s="6"/>
      <c r="B79" s="6" t="s">
        <v>18</v>
      </c>
      <c r="C79" s="6" t="s">
        <v>16</v>
      </c>
      <c r="D79" s="6" t="s">
        <v>14</v>
      </c>
      <c r="E79" s="6">
        <v>6.2600000000000003E-2</v>
      </c>
      <c r="F79" s="6">
        <v>4.36E-2</v>
      </c>
      <c r="G79" s="6">
        <v>1.9E-2</v>
      </c>
      <c r="H79" s="11">
        <v>6.5237499999999997</v>
      </c>
      <c r="I79" s="12">
        <v>12.651999999999999</v>
      </c>
      <c r="J79" s="18">
        <f t="shared" si="4"/>
        <v>0.93937535926422688</v>
      </c>
      <c r="K79" s="15">
        <f t="shared" si="5"/>
        <v>9.5957079900364055E-3</v>
      </c>
    </row>
    <row r="80" spans="1:11" ht="15.75" x14ac:dyDescent="0.25">
      <c r="A80" s="6">
        <v>40</v>
      </c>
      <c r="B80" s="6" t="s">
        <v>18</v>
      </c>
      <c r="C80" s="6" t="s">
        <v>17</v>
      </c>
      <c r="D80" s="6" t="s">
        <v>13</v>
      </c>
      <c r="E80" s="6">
        <v>9.2100000000000001E-2</v>
      </c>
      <c r="F80" s="6">
        <v>6.7100000000000007E-2</v>
      </c>
      <c r="G80" s="6">
        <v>2.5000000000000001E-2</v>
      </c>
      <c r="H80" s="11">
        <v>6.3262562999999998</v>
      </c>
      <c r="I80" s="12">
        <v>12.826000000000001</v>
      </c>
      <c r="J80" s="18">
        <f t="shared" si="4"/>
        <v>1.0274233909871784</v>
      </c>
      <c r="K80" s="15">
        <f t="shared" si="5"/>
        <v>1.4558373172455881E-2</v>
      </c>
    </row>
    <row r="81" spans="1:11" ht="15.75" x14ac:dyDescent="0.25">
      <c r="A81" s="6"/>
      <c r="B81" s="6" t="s">
        <v>18</v>
      </c>
      <c r="C81" s="6" t="s">
        <v>17</v>
      </c>
      <c r="D81" s="6" t="s">
        <v>14</v>
      </c>
      <c r="E81" s="6">
        <v>9.1399999999999995E-2</v>
      </c>
      <c r="F81" s="6">
        <v>6.8400000000000002E-2</v>
      </c>
      <c r="G81" s="6">
        <v>2.3E-2</v>
      </c>
      <c r="H81" s="11">
        <v>6.7098284000000001</v>
      </c>
      <c r="I81" s="14">
        <v>10.837</v>
      </c>
      <c r="J81" s="19">
        <f t="shared" si="4"/>
        <v>0.61509346498339657</v>
      </c>
      <c r="K81" s="16">
        <f t="shared" si="5"/>
        <v>1.3621808867720074E-2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664B-1214-456E-8099-677EB3F20D10}">
  <dimension ref="A1:J41"/>
  <sheetViews>
    <sheetView tabSelected="1" workbookViewId="0">
      <selection activeCell="D58" sqref="D58"/>
    </sheetView>
  </sheetViews>
  <sheetFormatPr defaultRowHeight="15" x14ac:dyDescent="0.25"/>
  <cols>
    <col min="2" max="2" width="26.85546875" customWidth="1"/>
    <col min="5" max="5" width="12.140625" customWidth="1"/>
    <col min="6" max="6" width="13.85546875" customWidth="1"/>
    <col min="7" max="7" width="12.28515625" customWidth="1"/>
    <col min="8" max="8" width="12.140625" customWidth="1"/>
    <col min="9" max="9" width="12.42578125" customWidth="1"/>
    <col min="10" max="10" width="21.85546875" customWidth="1"/>
  </cols>
  <sheetData>
    <row r="1" spans="1:10" x14ac:dyDescent="0.25">
      <c r="A1" s="1" t="s">
        <v>19</v>
      </c>
      <c r="B1" s="2" t="s">
        <v>20</v>
      </c>
      <c r="C1" s="2" t="s">
        <v>2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7" t="s">
        <v>27</v>
      </c>
    </row>
    <row r="2" spans="1:10" x14ac:dyDescent="0.25">
      <c r="A2" s="3">
        <v>1</v>
      </c>
      <c r="B2" s="4" t="s">
        <v>28</v>
      </c>
      <c r="C2" s="4" t="s">
        <v>29</v>
      </c>
      <c r="D2" s="4">
        <v>5</v>
      </c>
      <c r="E2" s="4">
        <v>6.3799999999999996E-2</v>
      </c>
      <c r="F2" s="4">
        <v>1.2800000000000001E-2</v>
      </c>
      <c r="G2" s="4">
        <v>4.6199999999999998E-2</v>
      </c>
      <c r="H2" s="4">
        <v>9.1999999999999998E-3</v>
      </c>
      <c r="I2" s="4">
        <v>3.5000000000000001E-3</v>
      </c>
      <c r="J2" s="8">
        <v>0.38100000000000001</v>
      </c>
    </row>
    <row r="3" spans="1:10" x14ac:dyDescent="0.25">
      <c r="A3" s="5">
        <v>2</v>
      </c>
      <c r="B3" s="6" t="s">
        <v>28</v>
      </c>
      <c r="C3" s="6" t="s">
        <v>15</v>
      </c>
      <c r="D3" s="6">
        <v>5</v>
      </c>
      <c r="E3" s="6">
        <v>7.5600000000000001E-2</v>
      </c>
      <c r="F3" s="6">
        <v>1.5100000000000001E-2</v>
      </c>
      <c r="G3" s="6">
        <v>5.4300000000000001E-2</v>
      </c>
      <c r="H3" s="6">
        <v>1.09E-2</v>
      </c>
      <c r="I3" s="6">
        <v>4.3E-3</v>
      </c>
      <c r="J3" s="9">
        <v>0.39229999999999998</v>
      </c>
    </row>
    <row r="4" spans="1:10" ht="15.75" customHeight="1" x14ac:dyDescent="0.25">
      <c r="A4" s="3">
        <v>3</v>
      </c>
      <c r="B4" s="4" t="s">
        <v>30</v>
      </c>
      <c r="C4" s="4" t="s">
        <v>16</v>
      </c>
      <c r="D4" s="4">
        <v>4</v>
      </c>
      <c r="E4" s="4">
        <v>4.8800000000000003E-2</v>
      </c>
      <c r="F4" s="4">
        <v>1.2200000000000001E-2</v>
      </c>
      <c r="G4" s="4">
        <v>3.4799999999999998E-2</v>
      </c>
      <c r="H4" s="4">
        <v>8.6999999999999994E-3</v>
      </c>
      <c r="I4" s="4">
        <v>3.5000000000000001E-3</v>
      </c>
      <c r="J4" s="8">
        <v>0.40229999999999999</v>
      </c>
    </row>
    <row r="5" spans="1:10" x14ac:dyDescent="0.25">
      <c r="A5" s="5">
        <v>4</v>
      </c>
      <c r="B5" s="6" t="s">
        <v>28</v>
      </c>
      <c r="C5" s="6" t="s">
        <v>17</v>
      </c>
      <c r="D5" s="6">
        <v>5</v>
      </c>
      <c r="E5" s="6">
        <v>5.0200000000000002E-2</v>
      </c>
      <c r="F5" s="6">
        <v>0.01</v>
      </c>
      <c r="G5" s="6">
        <v>3.5799999999999998E-2</v>
      </c>
      <c r="H5" s="6">
        <v>7.1999999999999998E-3</v>
      </c>
      <c r="I5" s="6">
        <v>2.8999999999999998E-3</v>
      </c>
      <c r="J5" s="9">
        <v>0.4022</v>
      </c>
    </row>
    <row r="6" spans="1:10" x14ac:dyDescent="0.25">
      <c r="A6" s="3">
        <v>5</v>
      </c>
      <c r="B6" s="4" t="s">
        <v>28</v>
      </c>
      <c r="C6" s="4" t="s">
        <v>29</v>
      </c>
      <c r="D6" s="4">
        <v>4</v>
      </c>
      <c r="E6" s="4">
        <v>4.1300000000000003E-2</v>
      </c>
      <c r="F6" s="4">
        <v>1.03E-2</v>
      </c>
      <c r="G6" s="4">
        <v>2.9700000000000001E-2</v>
      </c>
      <c r="H6" s="4">
        <v>7.4000000000000003E-3</v>
      </c>
      <c r="I6" s="4">
        <v>2.8999999999999998E-3</v>
      </c>
      <c r="J6" s="8">
        <v>0.3906</v>
      </c>
    </row>
    <row r="7" spans="1:10" x14ac:dyDescent="0.25">
      <c r="A7" s="5">
        <v>6</v>
      </c>
      <c r="B7" s="6" t="s">
        <v>28</v>
      </c>
      <c r="C7" s="6" t="s">
        <v>15</v>
      </c>
      <c r="D7" s="6">
        <v>5</v>
      </c>
      <c r="E7" s="6">
        <v>6.0699999999999997E-2</v>
      </c>
      <c r="F7" s="6">
        <v>1.21E-2</v>
      </c>
      <c r="G7" s="6">
        <v>4.3999999999999997E-2</v>
      </c>
      <c r="H7" s="6">
        <v>8.8000000000000005E-3</v>
      </c>
      <c r="I7" s="6">
        <v>3.3E-3</v>
      </c>
      <c r="J7" s="9">
        <v>0.3795</v>
      </c>
    </row>
    <row r="8" spans="1:10" x14ac:dyDescent="0.25">
      <c r="A8" s="3">
        <v>7</v>
      </c>
      <c r="B8" s="4" t="s">
        <v>30</v>
      </c>
      <c r="C8" s="4" t="s">
        <v>16</v>
      </c>
      <c r="D8" s="4">
        <v>4</v>
      </c>
      <c r="E8" s="4">
        <v>6.9500000000000006E-2</v>
      </c>
      <c r="F8" s="4">
        <v>1.7399999999999999E-2</v>
      </c>
      <c r="G8" s="4">
        <v>4.5999999999999999E-2</v>
      </c>
      <c r="H8" s="4">
        <v>1.15E-2</v>
      </c>
      <c r="I8" s="4">
        <v>5.8999999999999999E-3</v>
      </c>
      <c r="J8" s="8">
        <v>0.51090000000000002</v>
      </c>
    </row>
    <row r="9" spans="1:10" x14ac:dyDescent="0.25">
      <c r="A9" s="5">
        <v>8</v>
      </c>
      <c r="B9" s="6" t="s">
        <v>28</v>
      </c>
      <c r="C9" s="6" t="s">
        <v>17</v>
      </c>
      <c r="D9" s="6">
        <v>3</v>
      </c>
      <c r="E9" s="6">
        <v>5.3100000000000001E-2</v>
      </c>
      <c r="F9" s="6">
        <v>1.77E-2</v>
      </c>
      <c r="G9" s="6">
        <v>3.7600000000000001E-2</v>
      </c>
      <c r="H9" s="6">
        <v>1.2500000000000001E-2</v>
      </c>
      <c r="I9" s="6">
        <v>5.1999999999999998E-3</v>
      </c>
      <c r="J9" s="9">
        <v>0.41220000000000001</v>
      </c>
    </row>
    <row r="10" spans="1:10" x14ac:dyDescent="0.25">
      <c r="A10" s="3">
        <v>9</v>
      </c>
      <c r="B10" s="4" t="s">
        <v>28</v>
      </c>
      <c r="C10" s="4" t="s">
        <v>29</v>
      </c>
      <c r="D10" s="4">
        <v>5</v>
      </c>
      <c r="E10" s="4">
        <v>2.76E-2</v>
      </c>
      <c r="F10" s="4">
        <v>5.4999999999999997E-3</v>
      </c>
      <c r="G10" s="4">
        <v>1.9900000000000001E-2</v>
      </c>
      <c r="H10" s="4">
        <v>4.0000000000000001E-3</v>
      </c>
      <c r="I10" s="4">
        <v>1.5E-3</v>
      </c>
      <c r="J10" s="8">
        <v>0.38690000000000002</v>
      </c>
    </row>
    <row r="11" spans="1:10" x14ac:dyDescent="0.25">
      <c r="A11" s="5">
        <v>10</v>
      </c>
      <c r="B11" s="6" t="s">
        <v>28</v>
      </c>
      <c r="C11" s="6" t="s">
        <v>15</v>
      </c>
      <c r="D11" s="6">
        <v>5</v>
      </c>
      <c r="E11" s="6">
        <v>7.0900000000000005E-2</v>
      </c>
      <c r="F11" s="6">
        <v>1.4200000000000001E-2</v>
      </c>
      <c r="G11" s="6">
        <v>4.9799999999999997E-2</v>
      </c>
      <c r="H11" s="6">
        <v>0.01</v>
      </c>
      <c r="I11" s="6">
        <v>4.1999999999999997E-3</v>
      </c>
      <c r="J11" s="9">
        <v>0.42370000000000002</v>
      </c>
    </row>
    <row r="12" spans="1:10" x14ac:dyDescent="0.25">
      <c r="A12" s="3">
        <v>11</v>
      </c>
      <c r="B12" s="4" t="s">
        <v>30</v>
      </c>
      <c r="C12" s="4" t="s">
        <v>16</v>
      </c>
      <c r="D12" s="4">
        <v>5</v>
      </c>
      <c r="E12" s="4">
        <v>5.7599999999999998E-2</v>
      </c>
      <c r="F12" s="4">
        <v>1.15E-2</v>
      </c>
      <c r="G12" s="4">
        <v>4.36E-2</v>
      </c>
      <c r="H12" s="4">
        <v>8.6999999999999994E-3</v>
      </c>
      <c r="I12" s="4">
        <v>2.8E-3</v>
      </c>
      <c r="J12" s="8">
        <v>0.3211</v>
      </c>
    </row>
    <row r="13" spans="1:10" x14ac:dyDescent="0.25">
      <c r="A13" s="5">
        <v>12</v>
      </c>
      <c r="B13" s="6" t="s">
        <v>28</v>
      </c>
      <c r="C13" s="6" t="s">
        <v>17</v>
      </c>
      <c r="D13" s="6">
        <v>5</v>
      </c>
      <c r="E13" s="6">
        <v>6.4500000000000002E-2</v>
      </c>
      <c r="F13" s="6">
        <v>1.29E-2</v>
      </c>
      <c r="G13" s="6">
        <v>4.7199999999999999E-2</v>
      </c>
      <c r="H13" s="6">
        <v>9.4000000000000004E-3</v>
      </c>
      <c r="I13" s="6">
        <v>3.5000000000000001E-3</v>
      </c>
      <c r="J13" s="9">
        <v>0.36649999999999999</v>
      </c>
    </row>
    <row r="14" spans="1:10" x14ac:dyDescent="0.25">
      <c r="A14" s="3">
        <v>13</v>
      </c>
      <c r="B14" s="4" t="s">
        <v>28</v>
      </c>
      <c r="C14" s="4" t="s">
        <v>29</v>
      </c>
      <c r="D14" s="4">
        <v>5</v>
      </c>
      <c r="E14" s="4">
        <v>5.8999999999999997E-2</v>
      </c>
      <c r="F14" s="4">
        <v>1.18E-2</v>
      </c>
      <c r="G14" s="4">
        <v>4.41E-2</v>
      </c>
      <c r="H14" s="4">
        <v>8.8000000000000005E-3</v>
      </c>
      <c r="I14" s="4">
        <v>3.0000000000000001E-3</v>
      </c>
      <c r="J14" s="8">
        <v>0.33789999999999998</v>
      </c>
    </row>
    <row r="15" spans="1:10" x14ac:dyDescent="0.25">
      <c r="A15" s="5">
        <v>14</v>
      </c>
      <c r="B15" s="6" t="s">
        <v>28</v>
      </c>
      <c r="C15" s="6" t="s">
        <v>15</v>
      </c>
      <c r="D15" s="6">
        <v>5</v>
      </c>
      <c r="E15" s="6">
        <v>6.9699999999999998E-2</v>
      </c>
      <c r="F15" s="6">
        <v>1.3899999999999999E-2</v>
      </c>
      <c r="G15" s="6">
        <v>5.04E-2</v>
      </c>
      <c r="H15" s="6">
        <v>1.01E-2</v>
      </c>
      <c r="I15" s="6">
        <v>3.8999999999999998E-3</v>
      </c>
      <c r="J15" s="9">
        <v>0.38290000000000002</v>
      </c>
    </row>
    <row r="16" spans="1:10" x14ac:dyDescent="0.25">
      <c r="A16" s="3">
        <v>15</v>
      </c>
      <c r="B16" s="4" t="s">
        <v>30</v>
      </c>
      <c r="C16" s="4" t="s">
        <v>16</v>
      </c>
      <c r="D16" s="4">
        <v>5</v>
      </c>
      <c r="E16" s="4">
        <v>7.1099999999999997E-2</v>
      </c>
      <c r="F16" s="4">
        <v>1.4200000000000001E-2</v>
      </c>
      <c r="G16" s="4">
        <v>5.0099999999999999E-2</v>
      </c>
      <c r="H16" s="4">
        <v>0.01</v>
      </c>
      <c r="I16" s="4">
        <v>4.1999999999999997E-3</v>
      </c>
      <c r="J16" s="8">
        <v>0.41920000000000002</v>
      </c>
    </row>
    <row r="17" spans="1:10" x14ac:dyDescent="0.25">
      <c r="A17" s="5">
        <v>16</v>
      </c>
      <c r="B17" s="6" t="s">
        <v>28</v>
      </c>
      <c r="C17" s="6" t="s">
        <v>17</v>
      </c>
      <c r="D17" s="6">
        <v>5</v>
      </c>
      <c r="E17" s="6">
        <v>6.25E-2</v>
      </c>
      <c r="F17" s="6">
        <v>1.2500000000000001E-2</v>
      </c>
      <c r="G17" s="6">
        <v>4.5600000000000002E-2</v>
      </c>
      <c r="H17" s="6">
        <v>9.1000000000000004E-3</v>
      </c>
      <c r="I17" s="6">
        <v>3.3999999999999998E-3</v>
      </c>
      <c r="J17" s="9">
        <v>0.37059999999999998</v>
      </c>
    </row>
    <row r="18" spans="1:10" x14ac:dyDescent="0.25">
      <c r="A18" s="3">
        <v>17</v>
      </c>
      <c r="B18" s="4" t="s">
        <v>28</v>
      </c>
      <c r="C18" s="4" t="s">
        <v>29</v>
      </c>
      <c r="D18" s="4">
        <v>5</v>
      </c>
      <c r="E18" s="4">
        <v>4.19E-2</v>
      </c>
      <c r="F18" s="4">
        <v>8.3999999999999995E-3</v>
      </c>
      <c r="G18" s="4">
        <v>2.92E-2</v>
      </c>
      <c r="H18" s="4">
        <v>5.7999999999999996E-3</v>
      </c>
      <c r="I18" s="4">
        <v>2.5000000000000001E-3</v>
      </c>
      <c r="J18" s="8">
        <v>0.43490000000000001</v>
      </c>
    </row>
    <row r="19" spans="1:10" x14ac:dyDescent="0.25">
      <c r="A19" s="5">
        <v>18</v>
      </c>
      <c r="B19" s="6" t="s">
        <v>30</v>
      </c>
      <c r="C19" s="6" t="s">
        <v>15</v>
      </c>
      <c r="D19" s="6">
        <v>5</v>
      </c>
      <c r="E19" s="6">
        <v>4.7600000000000003E-2</v>
      </c>
      <c r="F19" s="6">
        <v>9.4999999999999998E-3</v>
      </c>
      <c r="G19" s="6">
        <v>3.27E-2</v>
      </c>
      <c r="H19" s="6">
        <v>6.4999999999999997E-3</v>
      </c>
      <c r="I19" s="6">
        <v>3.0000000000000001E-3</v>
      </c>
      <c r="J19" s="9">
        <v>0.45569999999999999</v>
      </c>
    </row>
    <row r="20" spans="1:10" x14ac:dyDescent="0.25">
      <c r="A20" s="3">
        <v>19</v>
      </c>
      <c r="B20" s="4" t="s">
        <v>30</v>
      </c>
      <c r="C20" s="4" t="s">
        <v>16</v>
      </c>
      <c r="D20" s="4">
        <v>5</v>
      </c>
      <c r="E20" s="4">
        <v>5.7599999999999998E-2</v>
      </c>
      <c r="F20" s="4">
        <v>1.15E-2</v>
      </c>
      <c r="G20" s="4">
        <v>3.8300000000000001E-2</v>
      </c>
      <c r="H20" s="4">
        <v>7.7000000000000002E-3</v>
      </c>
      <c r="I20" s="4">
        <v>3.8999999999999998E-3</v>
      </c>
      <c r="J20" s="8">
        <v>0.50390000000000001</v>
      </c>
    </row>
    <row r="21" spans="1:10" x14ac:dyDescent="0.25">
      <c r="A21" s="5">
        <v>20</v>
      </c>
      <c r="B21" s="6" t="s">
        <v>28</v>
      </c>
      <c r="C21" s="6" t="s">
        <v>17</v>
      </c>
      <c r="D21" s="6">
        <v>5</v>
      </c>
      <c r="E21" s="6">
        <v>0.1071</v>
      </c>
      <c r="F21" s="6">
        <v>2.1399999999999999E-2</v>
      </c>
      <c r="G21" s="6">
        <v>7.6100000000000001E-2</v>
      </c>
      <c r="H21" s="6">
        <v>1.52E-2</v>
      </c>
      <c r="I21" s="6">
        <v>6.1999999999999998E-3</v>
      </c>
      <c r="J21" s="9">
        <v>0.40739999999999998</v>
      </c>
    </row>
    <row r="22" spans="1:10" x14ac:dyDescent="0.25">
      <c r="A22" s="3">
        <v>21</v>
      </c>
      <c r="B22" s="4" t="s">
        <v>30</v>
      </c>
      <c r="C22" s="4" t="s">
        <v>29</v>
      </c>
      <c r="D22" s="4">
        <v>4</v>
      </c>
      <c r="E22" s="4">
        <v>3.2099999999999997E-2</v>
      </c>
      <c r="F22" s="4">
        <v>8.0000000000000002E-3</v>
      </c>
      <c r="G22" s="4">
        <v>2.4799999999999999E-2</v>
      </c>
      <c r="H22" s="4">
        <v>6.1999999999999998E-3</v>
      </c>
      <c r="I22" s="4">
        <v>1.8E-3</v>
      </c>
      <c r="J22" s="8">
        <v>0.2944</v>
      </c>
    </row>
    <row r="23" spans="1:10" x14ac:dyDescent="0.25">
      <c r="A23" s="5">
        <v>22</v>
      </c>
      <c r="B23" s="6" t="s">
        <v>28</v>
      </c>
      <c r="C23" s="6" t="s">
        <v>15</v>
      </c>
      <c r="D23" s="6">
        <v>5</v>
      </c>
      <c r="E23" s="6">
        <v>7.5999999999999998E-2</v>
      </c>
      <c r="F23" s="6">
        <v>1.52E-2</v>
      </c>
      <c r="G23" s="6">
        <v>5.3999999999999999E-2</v>
      </c>
      <c r="H23" s="6">
        <v>1.0800000000000001E-2</v>
      </c>
      <c r="I23" s="6">
        <v>4.4000000000000003E-3</v>
      </c>
      <c r="J23" s="9">
        <v>0.40739999999999998</v>
      </c>
    </row>
    <row r="24" spans="1:10" x14ac:dyDescent="0.25">
      <c r="A24" s="3">
        <v>23</v>
      </c>
      <c r="B24" s="4" t="s">
        <v>28</v>
      </c>
      <c r="C24" s="4" t="s">
        <v>16</v>
      </c>
      <c r="D24" s="4">
        <v>5</v>
      </c>
      <c r="E24" s="4">
        <v>6.9000000000000006E-2</v>
      </c>
      <c r="F24" s="4">
        <v>1.38E-2</v>
      </c>
      <c r="G24" s="4">
        <v>5.0299999999999997E-2</v>
      </c>
      <c r="H24" s="4">
        <v>1.01E-2</v>
      </c>
      <c r="I24" s="4">
        <v>3.7000000000000002E-3</v>
      </c>
      <c r="J24" s="8">
        <v>0.37180000000000002</v>
      </c>
    </row>
    <row r="25" spans="1:10" x14ac:dyDescent="0.25">
      <c r="A25" s="5">
        <v>24</v>
      </c>
      <c r="B25" s="6" t="s">
        <v>30</v>
      </c>
      <c r="C25" s="6" t="s">
        <v>17</v>
      </c>
      <c r="D25" s="6">
        <v>5</v>
      </c>
      <c r="E25" s="6">
        <v>6.8099999999999994E-2</v>
      </c>
      <c r="F25" s="6">
        <v>1.3599999999999999E-2</v>
      </c>
      <c r="G25" s="6">
        <v>4.7500000000000001E-2</v>
      </c>
      <c r="H25" s="6">
        <v>9.4999999999999998E-3</v>
      </c>
      <c r="I25" s="6">
        <v>4.1000000000000003E-3</v>
      </c>
      <c r="J25" s="9">
        <v>0.43369999999999997</v>
      </c>
    </row>
    <row r="26" spans="1:10" x14ac:dyDescent="0.25">
      <c r="A26" s="3">
        <v>25</v>
      </c>
      <c r="B26" s="4" t="s">
        <v>30</v>
      </c>
      <c r="C26" s="4" t="s">
        <v>29</v>
      </c>
      <c r="D26" s="4">
        <v>4</v>
      </c>
      <c r="E26" s="4">
        <v>2.3599999999999999E-2</v>
      </c>
      <c r="F26" s="4">
        <v>5.8999999999999999E-3</v>
      </c>
      <c r="G26" s="4">
        <v>1.72E-2</v>
      </c>
      <c r="H26" s="4">
        <v>4.3E-3</v>
      </c>
      <c r="I26" s="4">
        <v>1.6000000000000001E-3</v>
      </c>
      <c r="J26" s="8">
        <v>0.37209999999999999</v>
      </c>
    </row>
    <row r="27" spans="1:10" x14ac:dyDescent="0.25">
      <c r="A27" s="5">
        <v>26</v>
      </c>
      <c r="B27" s="6" t="s">
        <v>30</v>
      </c>
      <c r="C27" s="6" t="s">
        <v>15</v>
      </c>
      <c r="D27" s="6">
        <v>5</v>
      </c>
      <c r="E27" s="6">
        <v>5.6099999999999997E-2</v>
      </c>
      <c r="F27" s="6">
        <v>1.12E-2</v>
      </c>
      <c r="G27" s="6">
        <v>3.9399999999999998E-2</v>
      </c>
      <c r="H27" s="6">
        <v>7.9000000000000008E-3</v>
      </c>
      <c r="I27" s="6">
        <v>3.3E-3</v>
      </c>
      <c r="J27" s="9">
        <v>0.4239</v>
      </c>
    </row>
    <row r="28" spans="1:10" x14ac:dyDescent="0.25">
      <c r="A28" s="3">
        <v>27</v>
      </c>
      <c r="B28" s="4" t="s">
        <v>28</v>
      </c>
      <c r="C28" s="4" t="s">
        <v>16</v>
      </c>
      <c r="D28" s="4">
        <v>5</v>
      </c>
      <c r="E28" s="4">
        <v>6.3100000000000003E-2</v>
      </c>
      <c r="F28" s="4">
        <v>1.26E-2</v>
      </c>
      <c r="G28" s="4">
        <v>4.48E-2</v>
      </c>
      <c r="H28" s="4">
        <v>8.9999999999999993E-3</v>
      </c>
      <c r="I28" s="4">
        <v>3.7000000000000002E-3</v>
      </c>
      <c r="J28" s="8">
        <v>0.40849999999999997</v>
      </c>
    </row>
    <row r="29" spans="1:10" x14ac:dyDescent="0.25">
      <c r="A29" s="5">
        <v>28</v>
      </c>
      <c r="B29" s="6" t="s">
        <v>30</v>
      </c>
      <c r="C29" s="6" t="s">
        <v>17</v>
      </c>
      <c r="D29" s="6">
        <v>5</v>
      </c>
      <c r="E29" s="6">
        <v>6.8199999999999997E-2</v>
      </c>
      <c r="F29" s="6">
        <v>1.3599999999999999E-2</v>
      </c>
      <c r="G29" s="6">
        <v>4.6600000000000003E-2</v>
      </c>
      <c r="H29" s="6">
        <v>9.2999999999999992E-3</v>
      </c>
      <c r="I29" s="6">
        <v>4.3E-3</v>
      </c>
      <c r="J29" s="9">
        <v>0.46350000000000002</v>
      </c>
    </row>
    <row r="30" spans="1:10" x14ac:dyDescent="0.25">
      <c r="A30" s="3">
        <v>29</v>
      </c>
      <c r="B30" s="4" t="s">
        <v>30</v>
      </c>
      <c r="C30" s="4" t="s">
        <v>29</v>
      </c>
      <c r="D30" s="4">
        <v>5</v>
      </c>
      <c r="E30" s="4">
        <v>3.9899999999999998E-2</v>
      </c>
      <c r="F30" s="4">
        <v>8.0000000000000002E-3</v>
      </c>
      <c r="G30" s="4">
        <v>2.7900000000000001E-2</v>
      </c>
      <c r="H30" s="4">
        <v>5.5999999999999999E-3</v>
      </c>
      <c r="I30" s="4">
        <v>2.3999999999999998E-3</v>
      </c>
      <c r="J30" s="8">
        <v>0.43009999999999998</v>
      </c>
    </row>
    <row r="31" spans="1:10" x14ac:dyDescent="0.25">
      <c r="A31" s="5">
        <v>30</v>
      </c>
      <c r="B31" s="6" t="s">
        <v>30</v>
      </c>
      <c r="C31" s="6" t="s">
        <v>15</v>
      </c>
      <c r="D31" s="6">
        <v>5</v>
      </c>
      <c r="E31" s="6">
        <v>6.0999999999999999E-2</v>
      </c>
      <c r="F31" s="6">
        <v>1.2200000000000001E-2</v>
      </c>
      <c r="G31" s="6">
        <v>4.2500000000000003E-2</v>
      </c>
      <c r="H31" s="6">
        <v>8.5000000000000006E-3</v>
      </c>
      <c r="I31" s="6">
        <v>3.7000000000000002E-3</v>
      </c>
      <c r="J31" s="9">
        <v>0.43530000000000002</v>
      </c>
    </row>
    <row r="32" spans="1:10" x14ac:dyDescent="0.25">
      <c r="A32" s="3">
        <v>31</v>
      </c>
      <c r="B32" s="4" t="s">
        <v>28</v>
      </c>
      <c r="C32" s="4" t="s">
        <v>16</v>
      </c>
      <c r="D32" s="4">
        <v>5</v>
      </c>
      <c r="E32" s="4">
        <v>7.9200000000000007E-2</v>
      </c>
      <c r="F32" s="4">
        <v>1.5800000000000002E-2</v>
      </c>
      <c r="G32" s="4">
        <v>5.8400000000000001E-2</v>
      </c>
      <c r="H32" s="4">
        <v>1.17E-2</v>
      </c>
      <c r="I32" s="4">
        <v>4.1999999999999997E-3</v>
      </c>
      <c r="J32" s="8">
        <v>0.35620000000000002</v>
      </c>
    </row>
    <row r="33" spans="1:10" x14ac:dyDescent="0.25">
      <c r="A33" s="5">
        <v>32</v>
      </c>
      <c r="B33" s="6" t="s">
        <v>30</v>
      </c>
      <c r="C33" s="6" t="s">
        <v>17</v>
      </c>
      <c r="D33" s="6">
        <v>5</v>
      </c>
      <c r="E33" s="6">
        <v>6.6900000000000001E-2</v>
      </c>
      <c r="F33" s="6">
        <v>1.34E-2</v>
      </c>
      <c r="G33" s="6">
        <v>4.7199999999999999E-2</v>
      </c>
      <c r="H33" s="6">
        <v>9.4000000000000004E-3</v>
      </c>
      <c r="I33" s="6">
        <v>3.8999999999999998E-3</v>
      </c>
      <c r="J33" s="9">
        <v>0.41739999999999999</v>
      </c>
    </row>
    <row r="34" spans="1:10" x14ac:dyDescent="0.25">
      <c r="A34" s="3">
        <v>33</v>
      </c>
      <c r="B34" s="4" t="s">
        <v>30</v>
      </c>
      <c r="C34" s="4" t="s">
        <v>29</v>
      </c>
      <c r="D34" s="4">
        <v>4</v>
      </c>
      <c r="E34" s="4">
        <v>2.4899999999999999E-2</v>
      </c>
      <c r="F34" s="4">
        <v>6.1999999999999998E-3</v>
      </c>
      <c r="G34" s="4">
        <v>1.9E-2</v>
      </c>
      <c r="H34" s="4">
        <v>4.7999999999999996E-3</v>
      </c>
      <c r="I34" s="4">
        <v>1.5E-3</v>
      </c>
      <c r="J34" s="8">
        <v>0.3105</v>
      </c>
    </row>
    <row r="35" spans="1:10" x14ac:dyDescent="0.25">
      <c r="A35" s="5">
        <v>34</v>
      </c>
      <c r="B35" s="6" t="s">
        <v>30</v>
      </c>
      <c r="C35" s="6" t="s">
        <v>15</v>
      </c>
      <c r="D35" s="6">
        <v>5</v>
      </c>
      <c r="E35" s="6">
        <v>4.7100000000000003E-2</v>
      </c>
      <c r="F35" s="6">
        <v>9.4000000000000004E-3</v>
      </c>
      <c r="G35" s="6">
        <v>3.4799999999999998E-2</v>
      </c>
      <c r="H35" s="6">
        <v>7.0000000000000001E-3</v>
      </c>
      <c r="I35" s="6">
        <v>2.5000000000000001E-3</v>
      </c>
      <c r="J35" s="9">
        <v>0.35339999999999999</v>
      </c>
    </row>
    <row r="36" spans="1:10" x14ac:dyDescent="0.25">
      <c r="A36" s="3">
        <v>35</v>
      </c>
      <c r="B36" s="4" t="s">
        <v>28</v>
      </c>
      <c r="C36" s="4" t="s">
        <v>16</v>
      </c>
      <c r="D36" s="4">
        <v>5</v>
      </c>
      <c r="E36" s="4">
        <v>7.1300000000000002E-2</v>
      </c>
      <c r="F36" s="4">
        <v>1.43E-2</v>
      </c>
      <c r="G36" s="4">
        <v>5.16E-2</v>
      </c>
      <c r="H36" s="4">
        <v>1.03E-2</v>
      </c>
      <c r="I36" s="4">
        <v>3.8999999999999998E-3</v>
      </c>
      <c r="J36" s="8">
        <v>0.38179999999999997</v>
      </c>
    </row>
    <row r="37" spans="1:10" x14ac:dyDescent="0.25">
      <c r="A37" s="5">
        <v>36</v>
      </c>
      <c r="B37" s="6" t="s">
        <v>30</v>
      </c>
      <c r="C37" s="6" t="s">
        <v>17</v>
      </c>
      <c r="D37" s="6">
        <v>5</v>
      </c>
      <c r="E37" s="6">
        <v>6.8099999999999994E-2</v>
      </c>
      <c r="F37" s="6">
        <v>1.3599999999999999E-2</v>
      </c>
      <c r="G37" s="6">
        <v>4.87E-2</v>
      </c>
      <c r="H37" s="6">
        <v>9.7000000000000003E-3</v>
      </c>
      <c r="I37" s="6">
        <v>3.8999999999999998E-3</v>
      </c>
      <c r="J37" s="9">
        <v>0.39839999999999998</v>
      </c>
    </row>
    <row r="38" spans="1:10" x14ac:dyDescent="0.25">
      <c r="A38" s="3">
        <v>37</v>
      </c>
      <c r="B38" s="4" t="s">
        <v>30</v>
      </c>
      <c r="C38" s="4" t="s">
        <v>29</v>
      </c>
      <c r="D38" s="4">
        <v>4</v>
      </c>
      <c r="E38" s="4">
        <v>3.3300000000000003E-2</v>
      </c>
      <c r="F38" s="4">
        <v>8.3000000000000001E-3</v>
      </c>
      <c r="G38" s="4">
        <v>2.4500000000000001E-2</v>
      </c>
      <c r="H38" s="4">
        <v>6.1000000000000004E-3</v>
      </c>
      <c r="I38" s="4">
        <v>2.2000000000000001E-3</v>
      </c>
      <c r="J38" s="8">
        <v>0.35920000000000002</v>
      </c>
    </row>
    <row r="39" spans="1:10" x14ac:dyDescent="0.25">
      <c r="A39" s="5">
        <v>38</v>
      </c>
      <c r="B39" s="6" t="s">
        <v>30</v>
      </c>
      <c r="C39" s="6" t="s">
        <v>15</v>
      </c>
      <c r="D39" s="6">
        <v>5</v>
      </c>
      <c r="E39" s="6">
        <v>4.99E-2</v>
      </c>
      <c r="F39" s="6">
        <v>0.01</v>
      </c>
      <c r="G39" s="6">
        <v>3.5700000000000003E-2</v>
      </c>
      <c r="H39" s="6">
        <v>7.1000000000000004E-3</v>
      </c>
      <c r="I39" s="6">
        <v>2.8E-3</v>
      </c>
      <c r="J39" s="9">
        <v>0.39779999999999999</v>
      </c>
    </row>
    <row r="40" spans="1:10" x14ac:dyDescent="0.25">
      <c r="A40" s="3">
        <v>39</v>
      </c>
      <c r="B40" s="4" t="s">
        <v>28</v>
      </c>
      <c r="C40" s="4" t="s">
        <v>16</v>
      </c>
      <c r="D40" s="4">
        <v>5</v>
      </c>
      <c r="E40" s="4">
        <v>8.4500000000000006E-2</v>
      </c>
      <c r="F40" s="4">
        <v>1.6899999999999998E-2</v>
      </c>
      <c r="G40" s="4">
        <v>6.1699999999999998E-2</v>
      </c>
      <c r="H40" s="4">
        <v>1.23E-2</v>
      </c>
      <c r="I40" s="4">
        <v>4.5999999999999999E-3</v>
      </c>
      <c r="J40" s="8">
        <v>0.3695</v>
      </c>
    </row>
    <row r="41" spans="1:10" x14ac:dyDescent="0.25">
      <c r="A41" s="5">
        <v>40</v>
      </c>
      <c r="B41" s="6" t="s">
        <v>30</v>
      </c>
      <c r="C41" s="6" t="s">
        <v>17</v>
      </c>
      <c r="D41" s="6">
        <v>5</v>
      </c>
      <c r="E41" s="6">
        <v>5.8500000000000003E-2</v>
      </c>
      <c r="F41" s="6">
        <v>1.17E-2</v>
      </c>
      <c r="G41" s="6">
        <v>4.1399999999999999E-2</v>
      </c>
      <c r="H41" s="6">
        <v>8.3000000000000001E-3</v>
      </c>
      <c r="I41" s="6">
        <v>3.3999999999999998E-3</v>
      </c>
      <c r="J41" s="9">
        <v>0.41299999999999998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79DB021F88F64CA3054F7637D64A15" ma:contentTypeVersion="7" ma:contentTypeDescription="Een nieuw document maken." ma:contentTypeScope="" ma:versionID="0ba55270cbf62f5d538106bb03007225">
  <xsd:schema xmlns:xsd="http://www.w3.org/2001/XMLSchema" xmlns:xs="http://www.w3.org/2001/XMLSchema" xmlns:p="http://schemas.microsoft.com/office/2006/metadata/properties" xmlns:ns2="666ff848-e890-4ffc-8c20-15eba7cdd095" targetNamespace="http://schemas.microsoft.com/office/2006/metadata/properties" ma:root="true" ma:fieldsID="99a8566058abba4951a100fb0ca36a08" ns2:_="">
    <xsd:import namespace="666ff848-e890-4ffc-8c20-15eba7cdd0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6ff848-e890-4ffc-8c20-15eba7cdd0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1673AD-AF2E-41EA-B31B-816F9B65BC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4A9894F-0706-4147-88ED-5DA575F1B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6ff848-e890-4ffc-8c20-15eba7cdd0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78382B-7CE7-4C3F-ACB6-14E39B8575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Brassica</vt:lpstr>
      <vt:lpstr>Arabidopsis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Carracedo Lorenzo, Zulema</cp:lastModifiedBy>
  <cp:revision/>
  <dcterms:created xsi:type="dcterms:W3CDTF">2021-11-08T15:54:27Z</dcterms:created>
  <dcterms:modified xsi:type="dcterms:W3CDTF">2025-03-04T10:36:10Z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0x010100B579DB021F88F64CA3054F7637D64A15</vt:lpwstr>
  </property>
</Properties>
</file>